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Wild Wheat-CCL\Desktop\SAPNA\Portfolio\"/>
    </mc:Choice>
  </mc:AlternateContent>
  <xr:revisionPtr revIDLastSave="0" documentId="13_ncr:1_{6C39CCC4-0DDC-4B76-9B47-2F55EF8A5C98}" xr6:coauthVersionLast="47" xr6:coauthVersionMax="47" xr10:uidLastSave="{00000000-0000-0000-0000-000000000000}"/>
  <bookViews>
    <workbookView xWindow="-108" yWindow="-108" windowWidth="23256" windowHeight="12456" firstSheet="1" activeTab="1" xr2:uid="{B4C81B6F-B593-46D7-AEDB-A944EB9200FB}"/>
  </bookViews>
  <sheets>
    <sheet name="Pivot Report" sheetId="1" r:id="rId1"/>
    <sheet name="Dashboard" sheetId="2" r:id="rId2"/>
    <sheet name="Daily ER No of patient" sheetId="3" r:id="rId3"/>
    <sheet name="Average wait time daily trend" sheetId="4" r:id="rId4"/>
    <sheet name="Satisfication core daily trend" sheetId="5" r:id="rId5"/>
  </sheets>
  <definedNames>
    <definedName name="Slicer_Date__Month">#N/A</definedName>
    <definedName name="Slicer_Date__Year">#N/A</definedName>
  </definedNames>
  <calcPr calcId="191029"/>
  <pivotCaches>
    <pivotCache cacheId="9" r:id="rId6"/>
    <pivotCache cacheId="10" r:id="rId7"/>
    <pivotCache cacheId="11" r:id="rId8"/>
    <pivotCache cacheId="12" r:id="rId9"/>
    <pivotCache cacheId="13" r:id="rId10"/>
    <pivotCache cacheId="14" r:id="rId11"/>
    <pivotCache cacheId="15" r:id="rId12"/>
    <pivotCache cacheId="16" r:id="rId13"/>
    <pivotCache cacheId="17" r:id="rId14"/>
    <pivotCache cacheId="18" r:id="rId15"/>
    <pivotCache cacheId="19" r:id="rId16"/>
    <pivotCache cacheId="20" r:id="rId17"/>
  </pivotCaches>
  <extLst>
    <ext xmlns:x14="http://schemas.microsoft.com/office/spreadsheetml/2009/9/main" uri="{876F7934-8845-4945-9796-88D515C7AA90}">
      <x14:pivotCaches>
        <pivotCache cacheId="2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4d778ce-8220-447c-8418-958a15ecf9cb" name="Hospital Emergency Room Data" connection="Query - Hospital Emergency Room Data"/>
          <x15:modelTable id="Calender Table_309169fc-c471-4e05-a6f0-f50184005f55"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1" l="1"/>
  <c r="B49" i="1"/>
  <c r="C49" i="1"/>
  <c r="B50" i="1"/>
  <c r="C50"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2D8DA3-972D-45CB-8907-BDFF9F882E0E}" name="Query - Calender Table" description="Connection to the 'Calender Table' query in the workbook." type="100" refreshedVersion="8" minRefreshableVersion="5">
    <extLst>
      <ext xmlns:x15="http://schemas.microsoft.com/office/spreadsheetml/2010/11/main" uri="{DE250136-89BD-433C-8126-D09CA5730AF9}">
        <x15:connection id="7c13819d-9678-4087-8985-5960049bb475"/>
      </ext>
    </extLst>
  </connection>
  <connection id="2" xr16:uid="{D0BF27AB-1465-4ECC-9DD2-AF5C2AB8E02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e5ec835-dc7b-499c-900c-a2cd4c1a27e1"/>
      </ext>
    </extLst>
  </connection>
  <connection id="3" xr16:uid="{4FC06E60-034D-499A-9C39-90C3D88B847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<sst xmlns="http://schemas.openxmlformats.org/spreadsheetml/2006/main" count="156" uniqueCount="75">
  <si>
    <t>Row Labels</t>
  </si>
  <si>
    <t>Grand Total</t>
  </si>
  <si>
    <t>Distinct Count of Patient Id</t>
  </si>
  <si>
    <t>Number of Patient</t>
  </si>
  <si>
    <t>Average of Patient Waittime</t>
  </si>
  <si>
    <t>Average of Patient Satisfaction Score</t>
  </si>
  <si>
    <t xml:space="preserve">Daily Trends of no. of Patient </t>
  </si>
  <si>
    <t>Average wait time</t>
  </si>
  <si>
    <t>Satisfaction score daily trend</t>
  </si>
  <si>
    <t>Admitted</t>
  </si>
  <si>
    <t>Not Admitted</t>
  </si>
  <si>
    <t>Count of Patient Admission Flag</t>
  </si>
  <si>
    <t>Count of Patient Admission Flag2</t>
  </si>
  <si>
    <t>Admission Status</t>
  </si>
  <si>
    <t>% Status</t>
  </si>
  <si>
    <t xml:space="preserve"> Patient </t>
  </si>
  <si>
    <t>0-09</t>
  </si>
  <si>
    <t>10-19</t>
  </si>
  <si>
    <t>20-29</t>
  </si>
  <si>
    <t>30-39</t>
  </si>
  <si>
    <t>40-49</t>
  </si>
  <si>
    <t>50-59</t>
  </si>
  <si>
    <t>60-69</t>
  </si>
  <si>
    <t>70-79</t>
  </si>
  <si>
    <t>Count of Age Group</t>
  </si>
  <si>
    <t xml:space="preserve">Age Group wise Analysis </t>
  </si>
  <si>
    <t>Delay</t>
  </si>
  <si>
    <t>Ontime</t>
  </si>
  <si>
    <t>Count of Pateint Attend Status</t>
  </si>
  <si>
    <t xml:space="preserve">Attended Status </t>
  </si>
  <si>
    <t>Female</t>
  </si>
  <si>
    <t>Male</t>
  </si>
  <si>
    <t>Count of Patient Gender</t>
  </si>
  <si>
    <t>Gender wise anlaysis</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</si>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</sst>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Aptos Narrow"/>
      <family val="2"/>
      <scheme val="minor"/>
    </font>
    <font>
      <sz val="11"/>
      <color theme="1"/>
      <name val="Aptos Narrow"/>
      <family val="2"/>
      <scheme val="minor"/>
    </font>
    <font>
      <sz val="11"/>
      <color theme="2" tint="-0.249977111117893"/>
      <name val="Aptos Narrow"/>
      <family val="2"/>
      <scheme val="minor"/>
    </font>
    <font>
      <sz val="11"/>
      <color theme="0" tint="-0.249977111117893"/>
      <name val="Aptos Narrow"/>
      <family val="2"/>
      <scheme val="minor"/>
    </font>
    <font>
      <sz val="11"/>
      <color theme="1" tint="0.34998626667073579"/>
      <name val="Aptos Narrow"/>
      <family val="2"/>
      <scheme val="minor"/>
    </font>
    <font>
      <sz val="11"/>
      <color theme="2" tint="-0.499984740745262"/>
      <name val="Aptos Narrow"/>
      <family val="2"/>
      <scheme val="minor"/>
    </font>
    <font>
      <sz val="11"/>
      <color theme="1"/>
      <name val="Times New Roman"/>
      <family val="1"/>
    </font>
    <font>
      <b/>
      <sz val="11"/>
      <color theme="3"/>
      <name val="Times New Roman"/>
      <family val="1"/>
    </font>
  </fonts>
  <fills count="5">
    <fill>
      <patternFill patternType="none"/>
    </fill>
    <fill>
      <patternFill patternType="gray125"/>
    </fill>
    <fill>
      <patternFill patternType="solid">
        <fgColor theme="1" tint="0.34998626667073579"/>
        <bgColor indexed="64"/>
      </patternFill>
    </fill>
    <fill>
      <patternFill patternType="solid">
        <fgColor theme="2" tint="-0.249977111117893"/>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2" fillId="0" borderId="0" xfId="0" applyFont="1"/>
    <xf numFmtId="0" fontId="3" fillId="0" borderId="0" xfId="0" applyFont="1"/>
    <xf numFmtId="0" fontId="4" fillId="0" borderId="0" xfId="0" applyFont="1"/>
    <xf numFmtId="0" fontId="5" fillId="3" borderId="0" xfId="0" applyFont="1" applyFill="1"/>
    <xf numFmtId="0" fontId="4" fillId="3" borderId="0" xfId="0" applyFont="1" applyFill="1"/>
    <xf numFmtId="0" fontId="3" fillId="3" borderId="0" xfId="0" applyFont="1" applyFill="1"/>
    <xf numFmtId="10" fontId="0" fillId="0" borderId="0" xfId="0" applyNumberFormat="1"/>
    <xf numFmtId="0" fontId="6" fillId="0" borderId="0" xfId="0" applyFont="1" applyAlignment="1">
      <alignment horizontal="center"/>
    </xf>
    <xf numFmtId="9" fontId="6" fillId="0" borderId="0" xfId="1" applyFont="1" applyAlignment="1">
      <alignment horizontal="center"/>
    </xf>
    <xf numFmtId="0" fontId="7" fillId="4" borderId="0" xfId="0" applyFont="1" applyFill="1" applyAlignment="1">
      <alignment horizontal="center"/>
    </xf>
  </cellXfs>
  <cellStyles count="2">
    <cellStyle name="Normal" xfId="0" builtinId="0"/>
    <cellStyle name="Percent" xfId="1" builtinId="5"/>
  </cellStyles>
  <dxfs count="6">
    <dxf>
      <numFmt numFmtId="2" formatCode="0.00"/>
    </dxf>
    <dxf>
      <numFmt numFmtId="2" formatCode="0.00"/>
    </dxf>
    <dxf>
      <numFmt numFmtId="2" formatCode="0.00"/>
    </dxf>
    <dxf>
      <numFmt numFmtId="2" formatCode="0.00"/>
    </dxf>
    <dxf>
      <font>
        <b/>
        <color theme="1"/>
      </font>
      <border>
        <bottom style="thin">
          <color theme="8"/>
        </bottom>
        <vertical/>
        <horizontal/>
      </border>
    </dxf>
    <dxf>
      <font>
        <sz val="7"/>
        <color theme="1"/>
        <name val="Times New Roman"/>
        <family val="1"/>
        <scheme val="none"/>
      </font>
      <fill>
        <patternFill patternType="solid">
          <bgColor theme="0" tint="-0.24994659260841701"/>
        </patternFill>
      </fill>
      <border diagonalUp="0" diagonalDown="0">
        <left/>
        <right/>
        <top/>
        <bottom/>
        <vertical/>
        <horizontal/>
      </border>
    </dxf>
  </dxfs>
  <tableStyles count="1" defaultTableStyle="TableStyleMedium2" defaultPivotStyle="PivotStyleLight16">
    <tableStyle name="My Style " pivot="0" table="0" count="10" xr9:uid="{62F27EBF-A3B8-4A68-B410-FC4204607EBA}">
      <tableStyleElement type="wholeTable" dxfId="5"/>
      <tableStyleElement type="headerRow" dxfId="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Project_Hospital Emergency Room.xlsx]Pivot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layout>
            <c:manualLayout>
              <c:x val="-7.215007215007215E-3"/>
              <c:y val="-1.8726591760299581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3"/>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s>
    <c:plotArea>
      <c:layout>
        <c:manualLayout>
          <c:layoutTarget val="inner"/>
          <c:xMode val="edge"/>
          <c:yMode val="edge"/>
          <c:x val="1.9352009390785952E-2"/>
          <c:y val="0.3133793300589901"/>
          <c:w val="0.92335524686772641"/>
          <c:h val="0.56558431433694556"/>
        </c:manualLayout>
      </c:layout>
      <c:barChart>
        <c:barDir val="bar"/>
        <c:grouping val="clustered"/>
        <c:varyColors val="0"/>
        <c:ser>
          <c:idx val="0"/>
          <c:order val="0"/>
          <c:tx>
            <c:strRef>
              <c:f>'Pivot Report'!$B$39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B38-4803-82B4-00127F79E1F8}"/>
              </c:ext>
            </c:extLst>
          </c:dPt>
          <c:dPt>
            <c:idx val="1"/>
            <c:invertIfNegative val="0"/>
            <c:bubble3D val="0"/>
            <c:extLst>
              <c:ext xmlns:c16="http://schemas.microsoft.com/office/drawing/2014/chart" uri="{C3380CC4-5D6E-409C-BE32-E72D297353CC}">
                <c16:uniqueId val="{00000001-EB38-4803-82B4-00127F79E1F8}"/>
              </c:ext>
            </c:extLst>
          </c:dPt>
          <c:dLbls>
            <c:dLbl>
              <c:idx val="0"/>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EB38-4803-82B4-00127F79E1F8}"/>
                </c:ext>
              </c:extLst>
            </c:dLbl>
            <c:dLbl>
              <c:idx val="1"/>
              <c:layout>
                <c:manualLayout>
                  <c:x val="-7.215007215007215E-3"/>
                  <c:y val="-1.8726591760299581E-2"/>
                </c:manualLayout>
              </c:layout>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EB38-4803-82B4-00127F79E1F8}"/>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Report'!$A$40:$A$42</c:f>
              <c:strCache>
                <c:ptCount val="2"/>
                <c:pt idx="0">
                  <c:v>Admitted</c:v>
                </c:pt>
                <c:pt idx="1">
                  <c:v>Not Admitted</c:v>
                </c:pt>
              </c:strCache>
            </c:strRef>
          </c:cat>
          <c:val>
            <c:numRef>
              <c:f>'Pivot Report'!$B$40:$B$42</c:f>
              <c:numCache>
                <c:formatCode>General</c:formatCode>
                <c:ptCount val="2"/>
                <c:pt idx="0">
                  <c:v>269</c:v>
                </c:pt>
                <c:pt idx="1">
                  <c:v>244</c:v>
                </c:pt>
              </c:numCache>
            </c:numRef>
          </c:val>
          <c:extLst>
            <c:ext xmlns:c16="http://schemas.microsoft.com/office/drawing/2014/chart" uri="{C3380CC4-5D6E-409C-BE32-E72D297353CC}">
              <c16:uniqueId val="{00000005-29FF-46FE-94BD-83D6322CE785}"/>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0.52436647173489281</c:v>
                </c:pt>
                <c:pt idx="1">
                  <c:v>0.47563352826510719</c:v>
                </c:pt>
              </c:numCache>
            </c:numRef>
          </c:val>
          <c:extLst>
            <c:ext xmlns:c16="http://schemas.microsoft.com/office/drawing/2014/chart" uri="{C3380CC4-5D6E-409C-BE32-E72D297353CC}">
              <c16:uniqueId val="{00000006-29FF-46FE-94BD-83D6322CE785}"/>
            </c:ext>
          </c:extLst>
        </c:ser>
        <c:dLbls>
          <c:showLegendKey val="0"/>
          <c:showVal val="0"/>
          <c:showCatName val="0"/>
          <c:showSerName val="0"/>
          <c:showPercent val="0"/>
          <c:showBubbleSize val="0"/>
        </c:dLbls>
        <c:gapWidth val="80"/>
        <c:overlap val="48"/>
        <c:axId val="189742656"/>
        <c:axId val="189737376"/>
      </c:barChart>
      <c:catAx>
        <c:axId val="189742656"/>
        <c:scaling>
          <c:orientation val="minMax"/>
        </c:scaling>
        <c:delete val="1"/>
        <c:axPos val="l"/>
        <c:numFmt formatCode="General" sourceLinked="1"/>
        <c:majorTickMark val="none"/>
        <c:minorTickMark val="none"/>
        <c:tickLblPos val="nextTo"/>
        <c:crossAx val="189737376"/>
        <c:crosses val="autoZero"/>
        <c:auto val="1"/>
        <c:lblAlgn val="ctr"/>
        <c:lblOffset val="100"/>
        <c:noMultiLvlLbl val="0"/>
      </c:catAx>
      <c:valAx>
        <c:axId val="189737376"/>
        <c:scaling>
          <c:orientation val="minMax"/>
        </c:scaling>
        <c:delete val="1"/>
        <c:axPos val="b"/>
        <c:numFmt formatCode="General" sourceLinked="1"/>
        <c:majorTickMark val="none"/>
        <c:minorTickMark val="none"/>
        <c:tickLblPos val="nextTo"/>
        <c:crossAx val="18974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Project_Hospital Emergency Room.xlsx]Pivot Report!PivotTable4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75453756001641E-2"/>
          <c:y val="3.3157899315372372E-2"/>
          <c:w val="0.93542476681641451"/>
          <c:h val="0.9374248605951998"/>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1E82-4F19-A959-01B07A7CE854}"/>
            </c:ext>
          </c:extLst>
        </c:ser>
        <c:dLbls>
          <c:showLegendKey val="0"/>
          <c:showVal val="0"/>
          <c:showCatName val="0"/>
          <c:showSerName val="0"/>
          <c:showPercent val="0"/>
          <c:showBubbleSize val="0"/>
        </c:dLbls>
        <c:axId val="189689376"/>
        <c:axId val="189689856"/>
      </c:areaChart>
      <c:catAx>
        <c:axId val="189689376"/>
        <c:scaling>
          <c:orientation val="minMax"/>
        </c:scaling>
        <c:delete val="1"/>
        <c:axPos val="b"/>
        <c:numFmt formatCode="@" sourceLinked="0"/>
        <c:majorTickMark val="out"/>
        <c:minorTickMark val="none"/>
        <c:tickLblPos val="nextTo"/>
        <c:crossAx val="189689856"/>
        <c:crosses val="autoZero"/>
        <c:auto val="0"/>
        <c:lblAlgn val="ctr"/>
        <c:lblOffset val="50"/>
        <c:noMultiLvlLbl val="0"/>
      </c:catAx>
      <c:valAx>
        <c:axId val="189689856"/>
        <c:scaling>
          <c:orientation val="minMax"/>
        </c:scaling>
        <c:delete val="1"/>
        <c:axPos val="l"/>
        <c:numFmt formatCode="General" sourceLinked="1"/>
        <c:majorTickMark val="none"/>
        <c:minorTickMark val="none"/>
        <c:tickLblPos val="nextTo"/>
        <c:crossAx val="1896893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Project_Hospital Emergency Room.xlsx]Pivot Report!PivotTable5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56688308698253E-2"/>
          <c:y val="9.4199683372911722E-2"/>
          <c:w val="0.91561181434599159"/>
          <c:h val="0.85155195681511475"/>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EE7D-4D49-A147-1DE6A58CBCDC}"/>
            </c:ext>
          </c:extLst>
        </c:ser>
        <c:dLbls>
          <c:showLegendKey val="0"/>
          <c:showVal val="0"/>
          <c:showCatName val="0"/>
          <c:showSerName val="0"/>
          <c:showPercent val="0"/>
          <c:showBubbleSize val="0"/>
        </c:dLbls>
        <c:axId val="362311808"/>
        <c:axId val="362315168"/>
      </c:areaChart>
      <c:catAx>
        <c:axId val="362311808"/>
        <c:scaling>
          <c:orientation val="minMax"/>
        </c:scaling>
        <c:delete val="1"/>
        <c:axPos val="b"/>
        <c:numFmt formatCode="General" sourceLinked="1"/>
        <c:majorTickMark val="out"/>
        <c:minorTickMark val="none"/>
        <c:tickLblPos val="nextTo"/>
        <c:crossAx val="362315168"/>
        <c:crosses val="autoZero"/>
        <c:auto val="1"/>
        <c:lblAlgn val="ctr"/>
        <c:lblOffset val="100"/>
        <c:noMultiLvlLbl val="0"/>
      </c:catAx>
      <c:valAx>
        <c:axId val="362315168"/>
        <c:scaling>
          <c:orientation val="minMax"/>
        </c:scaling>
        <c:delete val="1"/>
        <c:axPos val="l"/>
        <c:numFmt formatCode="0.00" sourceLinked="1"/>
        <c:majorTickMark val="none"/>
        <c:minorTickMark val="none"/>
        <c:tickLblPos val="nextTo"/>
        <c:crossAx val="362311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Project_Hospital Emergency Room.xlsx]Pivot Report!PivotTable6</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768707482993201E-2"/>
          <c:y val="0"/>
          <c:w val="0.94345425951310746"/>
          <c:h val="0.91899738571598077"/>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8022-48CB-9179-7BA309EEE411}"/>
            </c:ext>
          </c:extLst>
        </c:ser>
        <c:dLbls>
          <c:showLegendKey val="0"/>
          <c:showVal val="0"/>
          <c:showCatName val="0"/>
          <c:showSerName val="0"/>
          <c:showPercent val="0"/>
          <c:showBubbleSize val="0"/>
        </c:dLbls>
        <c:axId val="189769056"/>
        <c:axId val="189765216"/>
      </c:areaChart>
      <c:catAx>
        <c:axId val="189769056"/>
        <c:scaling>
          <c:orientation val="minMax"/>
        </c:scaling>
        <c:delete val="1"/>
        <c:axPos val="b"/>
        <c:numFmt formatCode="General" sourceLinked="1"/>
        <c:majorTickMark val="out"/>
        <c:minorTickMark val="none"/>
        <c:tickLblPos val="nextTo"/>
        <c:crossAx val="189765216"/>
        <c:crosses val="autoZero"/>
        <c:auto val="1"/>
        <c:lblAlgn val="ctr"/>
        <c:lblOffset val="100"/>
        <c:noMultiLvlLbl val="0"/>
      </c:catAx>
      <c:valAx>
        <c:axId val="189765216"/>
        <c:scaling>
          <c:orientation val="minMax"/>
        </c:scaling>
        <c:delete val="1"/>
        <c:axPos val="l"/>
        <c:numFmt formatCode="0.00" sourceLinked="1"/>
        <c:majorTickMark val="none"/>
        <c:minorTickMark val="none"/>
        <c:tickLblPos val="nextTo"/>
        <c:crossAx val="1897690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Project_Hospital Emergency Room.xlsx]Pivot Report!PivotTable8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565021369244952E-2"/>
          <c:y val="0"/>
          <c:w val="0.9365022435873932"/>
          <c:h val="0.83601341323910539"/>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General</c:formatCode>
                <c:ptCount val="8"/>
                <c:pt idx="0">
                  <c:v>76</c:v>
                </c:pt>
                <c:pt idx="1">
                  <c:v>69</c:v>
                </c:pt>
                <c:pt idx="2">
                  <c:v>64</c:v>
                </c:pt>
                <c:pt idx="3">
                  <c:v>59</c:v>
                </c:pt>
                <c:pt idx="4">
                  <c:v>58</c:v>
                </c:pt>
                <c:pt idx="5">
                  <c:v>66</c:v>
                </c:pt>
                <c:pt idx="6">
                  <c:v>99</c:v>
                </c:pt>
                <c:pt idx="7">
                  <c:v>22</c:v>
                </c:pt>
              </c:numCache>
            </c:numRef>
          </c:val>
          <c:extLst>
            <c:ext xmlns:c16="http://schemas.microsoft.com/office/drawing/2014/chart" uri="{C3380CC4-5D6E-409C-BE32-E72D297353CC}">
              <c16:uniqueId val="{00000002-661F-4968-93C5-D7E452232B70}"/>
            </c:ext>
          </c:extLst>
        </c:ser>
        <c:dLbls>
          <c:showLegendKey val="0"/>
          <c:showVal val="0"/>
          <c:showCatName val="0"/>
          <c:showSerName val="0"/>
          <c:showPercent val="0"/>
          <c:showBubbleSize val="0"/>
        </c:dLbls>
        <c:gapWidth val="219"/>
        <c:overlap val="-27"/>
        <c:axId val="362263808"/>
        <c:axId val="362265248"/>
      </c:barChart>
      <c:catAx>
        <c:axId val="36226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crossAx val="362265248"/>
        <c:crosses val="autoZero"/>
        <c:auto val="1"/>
        <c:lblAlgn val="ctr"/>
        <c:lblOffset val="100"/>
        <c:noMultiLvlLbl val="0"/>
      </c:catAx>
      <c:valAx>
        <c:axId val="362265248"/>
        <c:scaling>
          <c:orientation val="minMax"/>
        </c:scaling>
        <c:delete val="1"/>
        <c:axPos val="l"/>
        <c:numFmt formatCode="General" sourceLinked="1"/>
        <c:majorTickMark val="none"/>
        <c:minorTickMark val="none"/>
        <c:tickLblPos val="nextTo"/>
        <c:crossAx val="36226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Project_Hospital Emergency Room.xlsx]Pivot Report!PivotTable9</c:name>
    <c:fmtId val="15"/>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0">
            <a:solidFill>
              <a:schemeClr val="accent6"/>
            </a:solid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396929497584342"/>
          <c:y val="0.20547010211543199"/>
          <c:w val="0.48338153812017592"/>
          <c:h val="0.62839573312559949"/>
        </c:manualLayout>
      </c:layout>
      <c:pieChart>
        <c:varyColors val="1"/>
        <c:ser>
          <c:idx val="0"/>
          <c:order val="0"/>
          <c:tx>
            <c:strRef>
              <c:f>'Pivot Report'!$F$55</c:f>
              <c:strCache>
                <c:ptCount val="1"/>
                <c:pt idx="0">
                  <c:v>Total</c:v>
                </c:pt>
              </c:strCache>
            </c:strRef>
          </c:tx>
          <c:dPt>
            <c:idx val="0"/>
            <c:bubble3D val="0"/>
            <c:spPr>
              <a:solidFill>
                <a:schemeClr val="accent1"/>
              </a:solidFill>
              <a:ln w="0">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767-4149-96C7-2143CCA731C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767-4149-96C7-2143CCA731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Report'!$E$56:$E$58</c:f>
              <c:strCache>
                <c:ptCount val="2"/>
                <c:pt idx="0">
                  <c:v>Delay</c:v>
                </c:pt>
                <c:pt idx="1">
                  <c:v>Ontime</c:v>
                </c:pt>
              </c:strCache>
            </c:strRef>
          </c:cat>
          <c:val>
            <c:numRef>
              <c:f>'Pivot Report'!$F$56:$F$58</c:f>
              <c:numCache>
                <c:formatCode>General</c:formatCode>
                <c:ptCount val="2"/>
                <c:pt idx="0">
                  <c:v>316</c:v>
                </c:pt>
                <c:pt idx="1">
                  <c:v>197</c:v>
                </c:pt>
              </c:numCache>
            </c:numRef>
          </c:val>
          <c:extLst>
            <c:ext xmlns:c16="http://schemas.microsoft.com/office/drawing/2014/chart" uri="{C3380CC4-5D6E-409C-BE32-E72D297353CC}">
              <c16:uniqueId val="{00000006-FE03-4E37-876C-2A2C49FE683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2955370957653437"/>
          <c:y val="3.5642257637161015E-3"/>
          <c:w val="0.36031967242668556"/>
          <c:h val="0.70688405034042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Project_Hospital Emergency Room.xlsx]Pivot Report!PivotTable10</c:name>
    <c:fmtId val="22"/>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355002920804472"/>
          <c:y val="0.15032629914148057"/>
          <c:w val="0.48760143536676959"/>
          <c:h val="0.70476947735205087"/>
        </c:manualLayout>
      </c:layout>
      <c:doughnutChart>
        <c:varyColors val="1"/>
        <c:ser>
          <c:idx val="0"/>
          <c:order val="0"/>
          <c:tx>
            <c:strRef>
              <c:f>'Pivot Report'!$F$64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5D-4FE9-99BB-EDBB5EB26D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5D-4FE9-99BB-EDBB5EB26D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Report'!$E$65:$E$67</c:f>
              <c:strCache>
                <c:ptCount val="2"/>
                <c:pt idx="0">
                  <c:v>Female</c:v>
                </c:pt>
                <c:pt idx="1">
                  <c:v>Male</c:v>
                </c:pt>
              </c:strCache>
            </c:strRef>
          </c:cat>
          <c:val>
            <c:numRef>
              <c:f>'Pivot Report'!$F$65:$F$67</c:f>
              <c:numCache>
                <c:formatCode>General</c:formatCode>
                <c:ptCount val="2"/>
                <c:pt idx="0">
                  <c:v>241</c:v>
                </c:pt>
                <c:pt idx="1">
                  <c:v>272</c:v>
                </c:pt>
              </c:numCache>
            </c:numRef>
          </c:val>
          <c:extLst>
            <c:ext xmlns:c16="http://schemas.microsoft.com/office/drawing/2014/chart" uri="{C3380CC4-5D6E-409C-BE32-E72D297353CC}">
              <c16:uniqueId val="{00000006-8FA2-4638-8D32-2F6D366DF028}"/>
            </c:ext>
          </c:extLst>
        </c:ser>
        <c:dLbls>
          <c:showLegendKey val="0"/>
          <c:showVal val="0"/>
          <c:showCatName val="0"/>
          <c:showSerName val="0"/>
          <c:showPercent val="1"/>
          <c:showBubbleSize val="0"/>
          <c:showLeaderLines val="1"/>
        </c:dLbls>
        <c:firstSliceAng val="0"/>
        <c:holeSize val="45"/>
      </c:doughnutChart>
      <c:spPr>
        <a:solidFill>
          <a:schemeClr val="bg1"/>
        </a:solidFill>
        <a:ln>
          <a:noFill/>
        </a:ln>
        <a:effectLst/>
      </c:spPr>
    </c:plotArea>
    <c:legend>
      <c:legendPos val="r"/>
      <c:layout>
        <c:manualLayout>
          <c:xMode val="edge"/>
          <c:yMode val="edge"/>
          <c:x val="0.26944170908787446"/>
          <c:y val="2.484756141689963E-3"/>
          <c:w val="0.35876892264040722"/>
          <c:h val="0.41360623514574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Project_Hospital Emergency Room.xlsx]Pivot Report!PivotTable11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14661736460116"/>
          <c:y val="7.358174372360915E-2"/>
          <c:w val="0.72351420986179715"/>
          <c:h val="0.89424457600744067"/>
        </c:manualLayout>
      </c:layout>
      <c:barChart>
        <c:barDir val="bar"/>
        <c:grouping val="clustered"/>
        <c:varyColors val="0"/>
        <c:ser>
          <c:idx val="0"/>
          <c:order val="0"/>
          <c:tx>
            <c:strRef>
              <c:f>'Pivot Report'!$D$73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Report'!$C$74:$C$82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Report'!$D$74:$D$82</c:f>
              <c:numCache>
                <c:formatCode>General</c:formatCode>
                <c:ptCount val="8"/>
                <c:pt idx="0">
                  <c:v>14</c:v>
                </c:pt>
                <c:pt idx="1">
                  <c:v>4</c:v>
                </c:pt>
                <c:pt idx="2">
                  <c:v>103</c:v>
                </c:pt>
                <c:pt idx="3">
                  <c:v>9</c:v>
                </c:pt>
                <c:pt idx="4">
                  <c:v>299</c:v>
                </c:pt>
                <c:pt idx="5">
                  <c:v>65</c:v>
                </c:pt>
                <c:pt idx="6">
                  <c:v>14</c:v>
                </c:pt>
                <c:pt idx="7">
                  <c:v>5</c:v>
                </c:pt>
              </c:numCache>
            </c:numRef>
          </c:val>
          <c:extLst>
            <c:ext xmlns:c16="http://schemas.microsoft.com/office/drawing/2014/chart" uri="{C3380CC4-5D6E-409C-BE32-E72D297353CC}">
              <c16:uniqueId val="{00000002-FF71-4738-A0C3-2BC9E22B05BB}"/>
            </c:ext>
          </c:extLst>
        </c:ser>
        <c:dLbls>
          <c:dLblPos val="outEnd"/>
          <c:showLegendKey val="0"/>
          <c:showVal val="1"/>
          <c:showCatName val="0"/>
          <c:showSerName val="0"/>
          <c:showPercent val="0"/>
          <c:showBubbleSize val="0"/>
        </c:dLbls>
        <c:gapWidth val="143"/>
        <c:axId val="362250848"/>
        <c:axId val="362263328"/>
      </c:barChart>
      <c:catAx>
        <c:axId val="36225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62263328"/>
        <c:crosses val="autoZero"/>
        <c:auto val="1"/>
        <c:lblAlgn val="ctr"/>
        <c:lblOffset val="100"/>
        <c:noMultiLvlLbl val="0"/>
      </c:catAx>
      <c:valAx>
        <c:axId val="362263328"/>
        <c:scaling>
          <c:orientation val="minMax"/>
        </c:scaling>
        <c:delete val="1"/>
        <c:axPos val="b"/>
        <c:numFmt formatCode="General" sourceLinked="1"/>
        <c:majorTickMark val="none"/>
        <c:minorTickMark val="none"/>
        <c:tickLblPos val="nextTo"/>
        <c:crossAx val="36225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Project_Hospital Emergency Room.xlsx]Pivot Report!PivotTable4</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54856439606659E-2"/>
          <c:y val="8.5541298078480932E-2"/>
          <c:w val="0.902790484522768"/>
          <c:h val="0.66855567662397286"/>
        </c:manualLayout>
      </c:layout>
      <c:areaChart>
        <c:grouping val="standard"/>
        <c:varyColors val="0"/>
        <c:ser>
          <c:idx val="0"/>
          <c:order val="0"/>
          <c:tx>
            <c:strRef>
              <c:f>'Pivot Report'!$D$4</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49E4-43B6-98D3-793CEF5E6380}"/>
            </c:ext>
          </c:extLst>
        </c:ser>
        <c:dLbls>
          <c:showLegendKey val="0"/>
          <c:showVal val="1"/>
          <c:showCatName val="0"/>
          <c:showSerName val="0"/>
          <c:showPercent val="0"/>
          <c:showBubbleSize val="0"/>
        </c:dLbls>
        <c:axId val="189689376"/>
        <c:axId val="189689856"/>
      </c:areaChart>
      <c:catAx>
        <c:axId val="189689376"/>
        <c:scaling>
          <c:orientation val="minMax"/>
        </c:scaling>
        <c:delete val="0"/>
        <c:axPos val="b"/>
        <c:numFmt formatCode="@"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9689856"/>
        <c:crosses val="autoZero"/>
        <c:auto val="0"/>
        <c:lblAlgn val="ctr"/>
        <c:lblOffset val="50"/>
        <c:noMultiLvlLbl val="0"/>
      </c:catAx>
      <c:valAx>
        <c:axId val="1896898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crossAx val="1896893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Project_Hospital Emergency Room.xlsx]Pivot Report!PivotTable5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299462302941509E-2"/>
          <c:y val="5.3459025955088939E-2"/>
          <c:w val="0.91561181434599159"/>
          <c:h val="0.85155195681511475"/>
        </c:manualLayout>
      </c:layout>
      <c:areaChart>
        <c:grouping val="standard"/>
        <c:varyColors val="0"/>
        <c:ser>
          <c:idx val="0"/>
          <c:order val="0"/>
          <c:tx>
            <c:strRef>
              <c:f>'Pivot Report'!$H$4</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C07A-4313-92D7-0257E9262DB3}"/>
            </c:ext>
          </c:extLst>
        </c:ser>
        <c:dLbls>
          <c:showLegendKey val="0"/>
          <c:showVal val="1"/>
          <c:showCatName val="0"/>
          <c:showSerName val="0"/>
          <c:showPercent val="0"/>
          <c:showBubbleSize val="0"/>
        </c:dLbls>
        <c:axId val="362311808"/>
        <c:axId val="362315168"/>
      </c:areaChart>
      <c:catAx>
        <c:axId val="3623118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362315168"/>
        <c:crosses val="autoZero"/>
        <c:auto val="1"/>
        <c:lblAlgn val="ctr"/>
        <c:lblOffset val="100"/>
        <c:noMultiLvlLbl val="0"/>
      </c:catAx>
      <c:valAx>
        <c:axId val="3623151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crossAx val="362311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Project_Hospital Emergency Room.xlsx]Pivot Report!PivotTable6</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2C2B-416F-A2AA-D9210C2D6DA5}"/>
            </c:ext>
          </c:extLst>
        </c:ser>
        <c:dLbls>
          <c:showLegendKey val="0"/>
          <c:showVal val="0"/>
          <c:showCatName val="0"/>
          <c:showSerName val="0"/>
          <c:showPercent val="0"/>
          <c:showBubbleSize val="0"/>
        </c:dLbls>
        <c:axId val="189769056"/>
        <c:axId val="189765216"/>
      </c:areaChart>
      <c:catAx>
        <c:axId val="1897690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9765216"/>
        <c:crosses val="autoZero"/>
        <c:auto val="1"/>
        <c:lblAlgn val="ctr"/>
        <c:lblOffset val="100"/>
        <c:noMultiLvlLbl val="0"/>
      </c:catAx>
      <c:valAx>
        <c:axId val="1897652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crossAx val="1897690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hyperlink" Target="#'Satisfication core daily trend'!A1"/><Relationship Id="rId18"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1" Type="http://schemas.openxmlformats.org/officeDocument/2006/relationships/hyperlink" Target="#'Average wait time daily trend'!A1"/><Relationship Id="rId6" Type="http://schemas.openxmlformats.org/officeDocument/2006/relationships/image" Target="../media/image5.png"/><Relationship Id="rId11" Type="http://schemas.openxmlformats.org/officeDocument/2006/relationships/chart" Target="../charts/chart2.xml"/><Relationship Id="rId5" Type="http://schemas.openxmlformats.org/officeDocument/2006/relationships/image" Target="../media/image4.svg"/><Relationship Id="rId15" Type="http://schemas.openxmlformats.org/officeDocument/2006/relationships/image" Target="../media/image9.emf"/><Relationship Id="rId10" Type="http://schemas.openxmlformats.org/officeDocument/2006/relationships/hyperlink" Target="#'Daily ER No of patient'!A1"/><Relationship Id="rId19"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152400</xdr:colOff>
      <xdr:row>46</xdr:row>
      <xdr:rowOff>91440</xdr:rowOff>
    </xdr:from>
    <xdr:to>
      <xdr:col>3</xdr:col>
      <xdr:colOff>1668780</xdr:colOff>
      <xdr:row>50</xdr:row>
      <xdr:rowOff>129540</xdr:rowOff>
    </xdr:to>
    <xdr:graphicFrame macro="">
      <xdr:nvGraphicFramePr>
        <xdr:cNvPr id="9" name="Chart 8">
          <a:extLst>
            <a:ext uri="{FF2B5EF4-FFF2-40B4-BE49-F238E27FC236}">
              <a16:creationId xmlns:a16="http://schemas.microsoft.com/office/drawing/2014/main" id="{BB3D764E-6579-E6E1-1E6F-DE375A235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30479</xdr:colOff>
      <xdr:row>0</xdr:row>
      <xdr:rowOff>39188</xdr:rowOff>
    </xdr:from>
    <xdr:to>
      <xdr:col>5</xdr:col>
      <xdr:colOff>365760</xdr:colOff>
      <xdr:row>2</xdr:row>
      <xdr:rowOff>13063</xdr:rowOff>
    </xdr:to>
    <xdr:sp macro="" textlink="">
      <xdr:nvSpPr>
        <xdr:cNvPr id="2" name="Rectangle: Rounded Corners 1">
          <a:extLst>
            <a:ext uri="{FF2B5EF4-FFF2-40B4-BE49-F238E27FC236}">
              <a16:creationId xmlns:a16="http://schemas.microsoft.com/office/drawing/2014/main" id="{84E0A817-F181-7CD1-A880-9CAC82A9EE4E}"/>
            </a:ext>
          </a:extLst>
        </xdr:cNvPr>
        <xdr:cNvSpPr/>
      </xdr:nvSpPr>
      <xdr:spPr>
        <a:xfrm>
          <a:off x="30479" y="39188"/>
          <a:ext cx="3383281" cy="339635"/>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404949</xdr:colOff>
      <xdr:row>0</xdr:row>
      <xdr:rowOff>34834</xdr:rowOff>
    </xdr:from>
    <xdr:to>
      <xdr:col>6</xdr:col>
      <xdr:colOff>505097</xdr:colOff>
      <xdr:row>2</xdr:row>
      <xdr:rowOff>8709</xdr:rowOff>
    </xdr:to>
    <xdr:sp macro="" textlink="">
      <xdr:nvSpPr>
        <xdr:cNvPr id="3" name="Rectangle: Rounded Corners 2">
          <a:extLst>
            <a:ext uri="{FF2B5EF4-FFF2-40B4-BE49-F238E27FC236}">
              <a16:creationId xmlns:a16="http://schemas.microsoft.com/office/drawing/2014/main" id="{1D853E79-F3C4-32FE-B861-F1585AC35608}"/>
            </a:ext>
          </a:extLst>
        </xdr:cNvPr>
        <xdr:cNvSpPr/>
      </xdr:nvSpPr>
      <xdr:spPr>
        <a:xfrm>
          <a:off x="3452949" y="34834"/>
          <a:ext cx="709748" cy="339635"/>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600891</xdr:colOff>
      <xdr:row>0</xdr:row>
      <xdr:rowOff>69668</xdr:rowOff>
    </xdr:from>
    <xdr:to>
      <xdr:col>9</xdr:col>
      <xdr:colOff>95793</xdr:colOff>
      <xdr:row>6</xdr:row>
      <xdr:rowOff>74023</xdr:rowOff>
    </xdr:to>
    <xdr:sp macro="" textlink="">
      <xdr:nvSpPr>
        <xdr:cNvPr id="4" name="Rectangle: Rounded Corners 3">
          <a:extLst>
            <a:ext uri="{FF2B5EF4-FFF2-40B4-BE49-F238E27FC236}">
              <a16:creationId xmlns:a16="http://schemas.microsoft.com/office/drawing/2014/main" id="{52042ABB-E23B-16BD-8D60-7E568372E30B}"/>
            </a:ext>
          </a:extLst>
        </xdr:cNvPr>
        <xdr:cNvSpPr/>
      </xdr:nvSpPr>
      <xdr:spPr>
        <a:xfrm>
          <a:off x="4258491" y="69668"/>
          <a:ext cx="1323702" cy="1101635"/>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148044</xdr:colOff>
      <xdr:row>0</xdr:row>
      <xdr:rowOff>34834</xdr:rowOff>
    </xdr:from>
    <xdr:to>
      <xdr:col>11</xdr:col>
      <xdr:colOff>243840</xdr:colOff>
      <xdr:row>6</xdr:row>
      <xdr:rowOff>17417</xdr:rowOff>
    </xdr:to>
    <xdr:sp macro="" textlink="">
      <xdr:nvSpPr>
        <xdr:cNvPr id="5" name="Rectangle: Rounded Corners 4">
          <a:extLst>
            <a:ext uri="{FF2B5EF4-FFF2-40B4-BE49-F238E27FC236}">
              <a16:creationId xmlns:a16="http://schemas.microsoft.com/office/drawing/2014/main" id="{35F2CE5D-6703-50EE-B244-A0D95769ABF3}"/>
            </a:ext>
          </a:extLst>
        </xdr:cNvPr>
        <xdr:cNvSpPr/>
      </xdr:nvSpPr>
      <xdr:spPr>
        <a:xfrm>
          <a:off x="5634444" y="34834"/>
          <a:ext cx="1314996" cy="1079863"/>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43543</xdr:colOff>
      <xdr:row>2</xdr:row>
      <xdr:rowOff>47897</xdr:rowOff>
    </xdr:from>
    <xdr:to>
      <xdr:col>1</xdr:col>
      <xdr:colOff>47897</xdr:colOff>
      <xdr:row>14</xdr:row>
      <xdr:rowOff>100149</xdr:rowOff>
    </xdr:to>
    <xdr:sp macro="" textlink="">
      <xdr:nvSpPr>
        <xdr:cNvPr id="6" name="Rectangle: Rounded Corners 5">
          <a:extLst>
            <a:ext uri="{FF2B5EF4-FFF2-40B4-BE49-F238E27FC236}">
              <a16:creationId xmlns:a16="http://schemas.microsoft.com/office/drawing/2014/main" id="{86D0B209-1AF7-DC62-F612-D211E67DD517}"/>
            </a:ext>
          </a:extLst>
        </xdr:cNvPr>
        <xdr:cNvSpPr/>
      </xdr:nvSpPr>
      <xdr:spPr>
        <a:xfrm>
          <a:off x="43543" y="413657"/>
          <a:ext cx="613954" cy="2246812"/>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95794</xdr:colOff>
      <xdr:row>2</xdr:row>
      <xdr:rowOff>69668</xdr:rowOff>
    </xdr:from>
    <xdr:to>
      <xdr:col>3</xdr:col>
      <xdr:colOff>0</xdr:colOff>
      <xdr:row>6</xdr:row>
      <xdr:rowOff>126273</xdr:rowOff>
    </xdr:to>
    <xdr:sp macro="" textlink="">
      <xdr:nvSpPr>
        <xdr:cNvPr id="7" name="Rectangle: Rounded Corners 6">
          <a:extLst>
            <a:ext uri="{FF2B5EF4-FFF2-40B4-BE49-F238E27FC236}">
              <a16:creationId xmlns:a16="http://schemas.microsoft.com/office/drawing/2014/main" id="{04D88ED6-1306-1B5D-3F70-D61F1C7A6454}"/>
            </a:ext>
          </a:extLst>
        </xdr:cNvPr>
        <xdr:cNvSpPr/>
      </xdr:nvSpPr>
      <xdr:spPr>
        <a:xfrm>
          <a:off x="705394" y="435428"/>
          <a:ext cx="1123406" cy="788125"/>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3</xdr:col>
      <xdr:colOff>42880</xdr:colOff>
      <xdr:row>2</xdr:row>
      <xdr:rowOff>60960</xdr:rowOff>
    </xdr:from>
    <xdr:to>
      <xdr:col>4</xdr:col>
      <xdr:colOff>536239</xdr:colOff>
      <xdr:row>6</xdr:row>
      <xdr:rowOff>121920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69163F30-04BF-CBD6-7A4C-0A4FA0DAE8B9}"/>
            </a:ext>
          </a:extLst>
        </xdr:cNvPr>
        <xdr:cNvSpPr/>
      </xdr:nvSpPr>
      <xdr:spPr>
        <a:xfrm>
          <a:off x="1871680" y="426720"/>
          <a:ext cx="1102959" cy="792480"/>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4</xdr:col>
      <xdr:colOff>579120</xdr:colOff>
      <xdr:row>2</xdr:row>
      <xdr:rowOff>52252</xdr:rowOff>
    </xdr:from>
    <xdr:to>
      <xdr:col>6</xdr:col>
      <xdr:colOff>518159</xdr:colOff>
      <xdr:row>6</xdr:row>
      <xdr:rowOff>117566</xdr:rowOff>
    </xdr:to>
    <xdr:sp macro="" textlink="">
      <xdr:nvSpPr>
        <xdr:cNvPr id="9" name="Rectangle: Rounded Corners 8">
          <a:extLst>
            <a:ext uri="{FF2B5EF4-FFF2-40B4-BE49-F238E27FC236}">
              <a16:creationId xmlns:a16="http://schemas.microsoft.com/office/drawing/2014/main" id="{D904C509-2C81-9F62-0B5B-492501FFC2E1}"/>
            </a:ext>
          </a:extLst>
        </xdr:cNvPr>
        <xdr:cNvSpPr/>
      </xdr:nvSpPr>
      <xdr:spPr>
        <a:xfrm>
          <a:off x="3017520" y="418012"/>
          <a:ext cx="1158239" cy="796834"/>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82728</xdr:colOff>
      <xdr:row>9</xdr:row>
      <xdr:rowOff>74023</xdr:rowOff>
    </xdr:from>
    <xdr:to>
      <xdr:col>6</xdr:col>
      <xdr:colOff>500741</xdr:colOff>
      <xdr:row>14</xdr:row>
      <xdr:rowOff>143692</xdr:rowOff>
    </xdr:to>
    <xdr:sp macro="" textlink="">
      <xdr:nvSpPr>
        <xdr:cNvPr id="11" name="Rectangle: Rounded Corners 10">
          <a:extLst>
            <a:ext uri="{FF2B5EF4-FFF2-40B4-BE49-F238E27FC236}">
              <a16:creationId xmlns:a16="http://schemas.microsoft.com/office/drawing/2014/main" id="{D8EEA498-6004-2EE3-9915-2A1A46EC1C34}"/>
            </a:ext>
          </a:extLst>
        </xdr:cNvPr>
        <xdr:cNvSpPr/>
      </xdr:nvSpPr>
      <xdr:spPr>
        <a:xfrm>
          <a:off x="692328" y="1719943"/>
          <a:ext cx="3466013" cy="984069"/>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108856</xdr:colOff>
      <xdr:row>6</xdr:row>
      <xdr:rowOff>152401</xdr:rowOff>
    </xdr:from>
    <xdr:to>
      <xdr:col>6</xdr:col>
      <xdr:colOff>509451</xdr:colOff>
      <xdr:row>9</xdr:row>
      <xdr:rowOff>82732</xdr:rowOff>
    </xdr:to>
    <xdr:sp macro="" textlink="">
      <xdr:nvSpPr>
        <xdr:cNvPr id="12" name="Rectangle: Rounded Corners 11">
          <a:extLst>
            <a:ext uri="{FF2B5EF4-FFF2-40B4-BE49-F238E27FC236}">
              <a16:creationId xmlns:a16="http://schemas.microsoft.com/office/drawing/2014/main" id="{DE307017-3315-97B4-892A-BD9C85364A6E}"/>
            </a:ext>
          </a:extLst>
        </xdr:cNvPr>
        <xdr:cNvSpPr/>
      </xdr:nvSpPr>
      <xdr:spPr>
        <a:xfrm>
          <a:off x="718456" y="1249681"/>
          <a:ext cx="3448595" cy="478971"/>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52252</xdr:colOff>
      <xdr:row>14</xdr:row>
      <xdr:rowOff>104503</xdr:rowOff>
    </xdr:from>
    <xdr:to>
      <xdr:col>12</xdr:col>
      <xdr:colOff>452846</xdr:colOff>
      <xdr:row>14</xdr:row>
      <xdr:rowOff>139337</xdr:rowOff>
    </xdr:to>
    <xdr:cxnSp macro="">
      <xdr:nvCxnSpPr>
        <xdr:cNvPr id="14" name="Straight Connector 13">
          <a:extLst>
            <a:ext uri="{FF2B5EF4-FFF2-40B4-BE49-F238E27FC236}">
              <a16:creationId xmlns:a16="http://schemas.microsoft.com/office/drawing/2014/main" id="{DA2082E3-289D-638A-089B-8C6677E9ED49}"/>
            </a:ext>
          </a:extLst>
        </xdr:cNvPr>
        <xdr:cNvCxnSpPr/>
      </xdr:nvCxnSpPr>
      <xdr:spPr>
        <a:xfrm flipV="1">
          <a:off x="52252" y="2664823"/>
          <a:ext cx="7715794" cy="348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248194</xdr:colOff>
      <xdr:row>0</xdr:row>
      <xdr:rowOff>0</xdr:rowOff>
    </xdr:from>
    <xdr:to>
      <xdr:col>11</xdr:col>
      <xdr:colOff>261256</xdr:colOff>
      <xdr:row>14</xdr:row>
      <xdr:rowOff>117566</xdr:rowOff>
    </xdr:to>
    <xdr:cxnSp macro="">
      <xdr:nvCxnSpPr>
        <xdr:cNvPr id="17" name="Straight Connector 16">
          <a:extLst>
            <a:ext uri="{FF2B5EF4-FFF2-40B4-BE49-F238E27FC236}">
              <a16:creationId xmlns:a16="http://schemas.microsoft.com/office/drawing/2014/main" id="{5B980E5E-C1B1-54E1-2725-666744B8EC49}"/>
            </a:ext>
          </a:extLst>
        </xdr:cNvPr>
        <xdr:cNvCxnSpPr/>
      </xdr:nvCxnSpPr>
      <xdr:spPr>
        <a:xfrm flipH="1">
          <a:off x="6953794" y="0"/>
          <a:ext cx="13062" cy="267788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6</xdr:col>
      <xdr:colOff>574766</xdr:colOff>
      <xdr:row>6</xdr:row>
      <xdr:rowOff>65311</xdr:rowOff>
    </xdr:from>
    <xdr:to>
      <xdr:col>11</xdr:col>
      <xdr:colOff>235131</xdr:colOff>
      <xdr:row>14</xdr:row>
      <xdr:rowOff>56602</xdr:rowOff>
    </xdr:to>
    <xdr:sp macro="" textlink="">
      <xdr:nvSpPr>
        <xdr:cNvPr id="19" name="Rectangle: Rounded Corners 18">
          <a:extLst>
            <a:ext uri="{FF2B5EF4-FFF2-40B4-BE49-F238E27FC236}">
              <a16:creationId xmlns:a16="http://schemas.microsoft.com/office/drawing/2014/main" id="{A001A30A-4438-51E0-51A2-B8858294E268}"/>
            </a:ext>
          </a:extLst>
        </xdr:cNvPr>
        <xdr:cNvSpPr/>
      </xdr:nvSpPr>
      <xdr:spPr>
        <a:xfrm>
          <a:off x="4232366" y="1162591"/>
          <a:ext cx="2708365" cy="1454331"/>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xdr:colOff>
      <xdr:row>0</xdr:row>
      <xdr:rowOff>74022</xdr:rowOff>
    </xdr:from>
    <xdr:to>
      <xdr:col>5</xdr:col>
      <xdr:colOff>100149</xdr:colOff>
      <xdr:row>1</xdr:row>
      <xdr:rowOff>74022</xdr:rowOff>
    </xdr:to>
    <xdr:sp macro="" textlink="">
      <xdr:nvSpPr>
        <xdr:cNvPr id="20" name="TextBox 19">
          <a:extLst>
            <a:ext uri="{FF2B5EF4-FFF2-40B4-BE49-F238E27FC236}">
              <a16:creationId xmlns:a16="http://schemas.microsoft.com/office/drawing/2014/main" id="{6C83C1B7-CDDC-6CB5-458C-E721C6BF4F87}"/>
            </a:ext>
          </a:extLst>
        </xdr:cNvPr>
        <xdr:cNvSpPr txBox="1"/>
      </xdr:nvSpPr>
      <xdr:spPr>
        <a:xfrm>
          <a:off x="609601" y="74022"/>
          <a:ext cx="2538548"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latin typeface="Times New Roman" panose="02020603050405020304" pitchFamily="18" charset="0"/>
              <a:cs typeface="Times New Roman" panose="02020603050405020304" pitchFamily="18" charset="0"/>
            </a:rPr>
            <a:t>Hospital Emergency Room Dashboard</a:t>
          </a:r>
        </a:p>
      </xdr:txBody>
    </xdr:sp>
    <xdr:clientData/>
  </xdr:twoCellAnchor>
  <xdr:twoCellAnchor editAs="oneCell">
    <xdr:from>
      <xdr:col>0</xdr:col>
      <xdr:colOff>78378</xdr:colOff>
      <xdr:row>0</xdr:row>
      <xdr:rowOff>69669</xdr:rowOff>
    </xdr:from>
    <xdr:to>
      <xdr:col>0</xdr:col>
      <xdr:colOff>539932</xdr:colOff>
      <xdr:row>1</xdr:row>
      <xdr:rowOff>156994</xdr:rowOff>
    </xdr:to>
    <xdr:pic>
      <xdr:nvPicPr>
        <xdr:cNvPr id="22" name="Graphic 21" descr="Building outline">
          <a:extLst>
            <a:ext uri="{FF2B5EF4-FFF2-40B4-BE49-F238E27FC236}">
              <a16:creationId xmlns:a16="http://schemas.microsoft.com/office/drawing/2014/main" id="{2FC225CB-1369-A5E5-2912-3F6D00966A1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8378" y="69669"/>
          <a:ext cx="461554" cy="270205"/>
        </a:xfrm>
        <a:prstGeom prst="rect">
          <a:avLst/>
        </a:prstGeom>
      </xdr:spPr>
    </xdr:pic>
    <xdr:clientData/>
  </xdr:twoCellAnchor>
  <xdr:twoCellAnchor editAs="absolute">
    <xdr:from>
      <xdr:col>1</xdr:col>
      <xdr:colOff>52251</xdr:colOff>
      <xdr:row>3</xdr:row>
      <xdr:rowOff>65312</xdr:rowOff>
    </xdr:from>
    <xdr:to>
      <xdr:col>2</xdr:col>
      <xdr:colOff>583474</xdr:colOff>
      <xdr:row>4</xdr:row>
      <xdr:rowOff>65312</xdr:rowOff>
    </xdr:to>
    <xdr:sp macro="" textlink="">
      <xdr:nvSpPr>
        <xdr:cNvPr id="24" name="TextBox 23">
          <a:extLst>
            <a:ext uri="{FF2B5EF4-FFF2-40B4-BE49-F238E27FC236}">
              <a16:creationId xmlns:a16="http://schemas.microsoft.com/office/drawing/2014/main" id="{0D6AC0AC-3977-18CC-8820-E10668702B05}"/>
            </a:ext>
          </a:extLst>
        </xdr:cNvPr>
        <xdr:cNvSpPr txBox="1"/>
      </xdr:nvSpPr>
      <xdr:spPr>
        <a:xfrm>
          <a:off x="661851" y="613952"/>
          <a:ext cx="1140823"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latin typeface="Times New Roman" panose="02020603050405020304" pitchFamily="18" charset="0"/>
              <a:cs typeface="Times New Roman" panose="02020603050405020304" pitchFamily="18" charset="0"/>
            </a:rPr>
            <a:t>No</a:t>
          </a:r>
          <a:r>
            <a:rPr lang="en-IN" sz="800" baseline="0">
              <a:latin typeface="Times New Roman" panose="02020603050405020304" pitchFamily="18" charset="0"/>
              <a:cs typeface="Times New Roman" panose="02020603050405020304" pitchFamily="18" charset="0"/>
            </a:rPr>
            <a:t> of Patient</a:t>
          </a:r>
          <a:endParaRPr lang="en-IN" sz="800">
            <a:latin typeface="Times New Roman" panose="02020603050405020304" pitchFamily="18" charset="0"/>
            <a:cs typeface="Times New Roman" panose="02020603050405020304" pitchFamily="18" charset="0"/>
          </a:endParaRPr>
        </a:p>
      </xdr:txBody>
    </xdr:sp>
    <xdr:clientData/>
  </xdr:twoCellAnchor>
  <xdr:twoCellAnchor editAs="absolute">
    <xdr:from>
      <xdr:col>0</xdr:col>
      <xdr:colOff>605247</xdr:colOff>
      <xdr:row>2</xdr:row>
      <xdr:rowOff>121920</xdr:rowOff>
    </xdr:from>
    <xdr:to>
      <xdr:col>2</xdr:col>
      <xdr:colOff>526870</xdr:colOff>
      <xdr:row>3</xdr:row>
      <xdr:rowOff>121920</xdr:rowOff>
    </xdr:to>
    <xdr:sp macro="" textlink="'Pivot Report'!A5">
      <xdr:nvSpPr>
        <xdr:cNvPr id="25" name="TextBox 24">
          <a:extLst>
            <a:ext uri="{FF2B5EF4-FFF2-40B4-BE49-F238E27FC236}">
              <a16:creationId xmlns:a16="http://schemas.microsoft.com/office/drawing/2014/main" id="{7DA1DA49-BAED-E9D5-00A2-488589B2CC40}"/>
            </a:ext>
          </a:extLst>
        </xdr:cNvPr>
        <xdr:cNvSpPr txBox="1"/>
      </xdr:nvSpPr>
      <xdr:spPr>
        <a:xfrm>
          <a:off x="605247" y="487680"/>
          <a:ext cx="1140823"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010B16C-FAEE-464C-BA50-5C3ADF2DD922}" type="TxLink">
            <a:rPr lang="en-US" sz="800" b="0" i="0" u="none" strike="noStrike">
              <a:solidFill>
                <a:srgbClr val="000000"/>
              </a:solidFill>
              <a:latin typeface="Times New Roman" panose="02020603050405020304" pitchFamily="18" charset="0"/>
              <a:cs typeface="Times New Roman" panose="02020603050405020304" pitchFamily="18" charset="0"/>
            </a:rPr>
            <a:pPr algn="ctr"/>
            <a:t>513</a:t>
          </a:fld>
          <a:endParaRPr lang="en-IN" sz="800">
            <a:latin typeface="Times New Roman" panose="02020603050405020304" pitchFamily="18" charset="0"/>
            <a:cs typeface="Times New Roman" panose="02020603050405020304" pitchFamily="18" charset="0"/>
          </a:endParaRPr>
        </a:p>
      </xdr:txBody>
    </xdr:sp>
    <xdr:clientData/>
  </xdr:twoCellAnchor>
  <xdr:twoCellAnchor editAs="absolute">
    <xdr:from>
      <xdr:col>3</xdr:col>
      <xdr:colOff>4353</xdr:colOff>
      <xdr:row>3</xdr:row>
      <xdr:rowOff>82729</xdr:rowOff>
    </xdr:from>
    <xdr:to>
      <xdr:col>4</xdr:col>
      <xdr:colOff>535576</xdr:colOff>
      <xdr:row>4</xdr:row>
      <xdr:rowOff>82729</xdr:rowOff>
    </xdr:to>
    <xdr:sp macro="" textlink="">
      <xdr:nvSpPr>
        <xdr:cNvPr id="26" name="TextBox 25">
          <a:extLst>
            <a:ext uri="{FF2B5EF4-FFF2-40B4-BE49-F238E27FC236}">
              <a16:creationId xmlns:a16="http://schemas.microsoft.com/office/drawing/2014/main" id="{752D9C50-FE54-EFFB-87EF-593E71D39FF3}"/>
            </a:ext>
          </a:extLst>
        </xdr:cNvPr>
        <xdr:cNvSpPr txBox="1"/>
      </xdr:nvSpPr>
      <xdr:spPr>
        <a:xfrm>
          <a:off x="1833153" y="631369"/>
          <a:ext cx="1140823"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latin typeface="Times New Roman" panose="02020603050405020304" pitchFamily="18" charset="0"/>
              <a:cs typeface="Times New Roman" panose="02020603050405020304" pitchFamily="18" charset="0"/>
            </a:rPr>
            <a:t>Average</a:t>
          </a:r>
          <a:r>
            <a:rPr lang="en-IN" sz="800" baseline="0">
              <a:latin typeface="Times New Roman" panose="02020603050405020304" pitchFamily="18" charset="0"/>
              <a:cs typeface="Times New Roman" panose="02020603050405020304" pitchFamily="18" charset="0"/>
            </a:rPr>
            <a:t> Wait Time </a:t>
          </a:r>
          <a:endParaRPr lang="en-IN" sz="800">
            <a:latin typeface="Times New Roman" panose="02020603050405020304" pitchFamily="18" charset="0"/>
            <a:cs typeface="Times New Roman" panose="02020603050405020304" pitchFamily="18" charset="0"/>
          </a:endParaRPr>
        </a:p>
      </xdr:txBody>
    </xdr:sp>
    <xdr:clientData/>
  </xdr:twoCellAnchor>
  <xdr:twoCellAnchor editAs="absolute">
    <xdr:from>
      <xdr:col>2</xdr:col>
      <xdr:colOff>605244</xdr:colOff>
      <xdr:row>2</xdr:row>
      <xdr:rowOff>126274</xdr:rowOff>
    </xdr:from>
    <xdr:to>
      <xdr:col>4</xdr:col>
      <xdr:colOff>526867</xdr:colOff>
      <xdr:row>3</xdr:row>
      <xdr:rowOff>152399</xdr:rowOff>
    </xdr:to>
    <xdr:sp macro="" textlink="'Pivot Report'!A10">
      <xdr:nvSpPr>
        <xdr:cNvPr id="27" name="TextBox 26">
          <a:extLst>
            <a:ext uri="{FF2B5EF4-FFF2-40B4-BE49-F238E27FC236}">
              <a16:creationId xmlns:a16="http://schemas.microsoft.com/office/drawing/2014/main" id="{A8042447-49B6-FC7C-146C-81E4FF3DEB4E}"/>
            </a:ext>
          </a:extLst>
        </xdr:cNvPr>
        <xdr:cNvSpPr txBox="1"/>
      </xdr:nvSpPr>
      <xdr:spPr>
        <a:xfrm>
          <a:off x="1824444" y="492034"/>
          <a:ext cx="1140823" cy="209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983F948-608D-4323-8D04-C9B02C440BA7}" type="TxLink">
            <a:rPr lang="en-US" sz="800" b="0" i="0" u="none" strike="noStrike">
              <a:solidFill>
                <a:srgbClr val="000000"/>
              </a:solidFill>
              <a:latin typeface="Times New Roman" panose="02020603050405020304" pitchFamily="18" charset="0"/>
              <a:cs typeface="Times New Roman" panose="02020603050405020304" pitchFamily="18" charset="0"/>
            </a:rPr>
            <a:pPr algn="ctr"/>
            <a:t>36.32</a:t>
          </a:fld>
          <a:endParaRPr lang="en-IN" sz="800">
            <a:latin typeface="Times New Roman" panose="02020603050405020304" pitchFamily="18" charset="0"/>
            <a:cs typeface="Times New Roman" panose="02020603050405020304" pitchFamily="18" charset="0"/>
          </a:endParaRPr>
        </a:p>
      </xdr:txBody>
    </xdr:sp>
    <xdr:clientData/>
  </xdr:twoCellAnchor>
  <xdr:twoCellAnchor editAs="absolute">
    <xdr:from>
      <xdr:col>4</xdr:col>
      <xdr:colOff>579120</xdr:colOff>
      <xdr:row>3</xdr:row>
      <xdr:rowOff>78376</xdr:rowOff>
    </xdr:from>
    <xdr:to>
      <xdr:col>6</xdr:col>
      <xdr:colOff>500743</xdr:colOff>
      <xdr:row>4</xdr:row>
      <xdr:rowOff>39190</xdr:rowOff>
    </xdr:to>
    <xdr:sp macro="" textlink="">
      <xdr:nvSpPr>
        <xdr:cNvPr id="28" name="TextBox 27">
          <a:extLst>
            <a:ext uri="{FF2B5EF4-FFF2-40B4-BE49-F238E27FC236}">
              <a16:creationId xmlns:a16="http://schemas.microsoft.com/office/drawing/2014/main" id="{918F1E41-F43E-B470-0237-CCDCEDA6FDFE}"/>
            </a:ext>
          </a:extLst>
        </xdr:cNvPr>
        <xdr:cNvSpPr txBox="1"/>
      </xdr:nvSpPr>
      <xdr:spPr>
        <a:xfrm>
          <a:off x="3017520" y="627016"/>
          <a:ext cx="1140823" cy="143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latin typeface="Times New Roman" panose="02020603050405020304" pitchFamily="18" charset="0"/>
              <a:cs typeface="Times New Roman" panose="02020603050405020304" pitchFamily="18" charset="0"/>
            </a:rPr>
            <a:t>Pateint</a:t>
          </a:r>
          <a:r>
            <a:rPr lang="en-IN" sz="800" baseline="0">
              <a:latin typeface="Times New Roman" panose="02020603050405020304" pitchFamily="18" charset="0"/>
              <a:cs typeface="Times New Roman" panose="02020603050405020304" pitchFamily="18" charset="0"/>
            </a:rPr>
            <a:t> Satisfaction Report </a:t>
          </a:r>
          <a:endParaRPr lang="en-IN" sz="800">
            <a:latin typeface="Times New Roman" panose="02020603050405020304" pitchFamily="18" charset="0"/>
            <a:cs typeface="Times New Roman" panose="02020603050405020304" pitchFamily="18" charset="0"/>
          </a:endParaRPr>
        </a:p>
      </xdr:txBody>
    </xdr:sp>
    <xdr:clientData/>
  </xdr:twoCellAnchor>
  <xdr:twoCellAnchor editAs="absolute">
    <xdr:from>
      <xdr:col>4</xdr:col>
      <xdr:colOff>583474</xdr:colOff>
      <xdr:row>2</xdr:row>
      <xdr:rowOff>108857</xdr:rowOff>
    </xdr:from>
    <xdr:to>
      <xdr:col>6</xdr:col>
      <xdr:colOff>505097</xdr:colOff>
      <xdr:row>3</xdr:row>
      <xdr:rowOff>108857</xdr:rowOff>
    </xdr:to>
    <xdr:sp macro="" textlink="'Pivot Report'!A17">
      <xdr:nvSpPr>
        <xdr:cNvPr id="29" name="TextBox 28">
          <a:extLst>
            <a:ext uri="{FF2B5EF4-FFF2-40B4-BE49-F238E27FC236}">
              <a16:creationId xmlns:a16="http://schemas.microsoft.com/office/drawing/2014/main" id="{19BB293C-D817-38E2-E8AC-211A165B865B}"/>
            </a:ext>
          </a:extLst>
        </xdr:cNvPr>
        <xdr:cNvSpPr txBox="1"/>
      </xdr:nvSpPr>
      <xdr:spPr>
        <a:xfrm>
          <a:off x="3021874" y="474617"/>
          <a:ext cx="1140823"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81C04FC-8A2C-45FC-91FC-750490998A76}" type="TxLink">
            <a:rPr lang="en-US" sz="800" b="0" i="0" u="none" strike="noStrike">
              <a:solidFill>
                <a:srgbClr val="000000"/>
              </a:solidFill>
              <a:latin typeface="Times New Roman" panose="02020603050405020304" pitchFamily="18" charset="0"/>
              <a:cs typeface="Times New Roman" panose="02020603050405020304" pitchFamily="18" charset="0"/>
            </a:rPr>
            <a:pPr algn="ctr"/>
            <a:t>4.96</a:t>
          </a:fld>
          <a:endParaRPr lang="en-IN" sz="800">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326571</xdr:colOff>
      <xdr:row>2</xdr:row>
      <xdr:rowOff>113210</xdr:rowOff>
    </xdr:from>
    <xdr:to>
      <xdr:col>2</xdr:col>
      <xdr:colOff>505098</xdr:colOff>
      <xdr:row>3</xdr:row>
      <xdr:rowOff>108857</xdr:rowOff>
    </xdr:to>
    <xdr:pic>
      <xdr:nvPicPr>
        <xdr:cNvPr id="31" name="Graphic 30" descr="Male profile with solid fill">
          <a:extLst>
            <a:ext uri="{FF2B5EF4-FFF2-40B4-BE49-F238E27FC236}">
              <a16:creationId xmlns:a16="http://schemas.microsoft.com/office/drawing/2014/main" id="{6BC0360F-EC24-DDA7-CF8D-064D60F3496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45771" y="478970"/>
          <a:ext cx="178527" cy="178527"/>
        </a:xfrm>
        <a:prstGeom prst="rect">
          <a:avLst/>
        </a:prstGeom>
      </xdr:spPr>
    </xdr:pic>
    <xdr:clientData/>
  </xdr:twoCellAnchor>
  <xdr:twoCellAnchor editAs="oneCell">
    <xdr:from>
      <xdr:col>6</xdr:col>
      <xdr:colOff>235128</xdr:colOff>
      <xdr:row>2</xdr:row>
      <xdr:rowOff>91440</xdr:rowOff>
    </xdr:from>
    <xdr:to>
      <xdr:col>6</xdr:col>
      <xdr:colOff>431073</xdr:colOff>
      <xdr:row>3</xdr:row>
      <xdr:rowOff>104505</xdr:rowOff>
    </xdr:to>
    <xdr:pic>
      <xdr:nvPicPr>
        <xdr:cNvPr id="33" name="Graphic 32" descr="Badge New with solid fill">
          <a:extLst>
            <a:ext uri="{FF2B5EF4-FFF2-40B4-BE49-F238E27FC236}">
              <a16:creationId xmlns:a16="http://schemas.microsoft.com/office/drawing/2014/main" id="{C420AC81-B29C-8A74-EFE3-F499C7D9F17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92728" y="457200"/>
          <a:ext cx="195945" cy="195945"/>
        </a:xfrm>
        <a:prstGeom prst="rect">
          <a:avLst/>
        </a:prstGeom>
      </xdr:spPr>
    </xdr:pic>
    <xdr:clientData/>
  </xdr:twoCellAnchor>
  <xdr:twoCellAnchor editAs="oneCell">
    <xdr:from>
      <xdr:col>4</xdr:col>
      <xdr:colOff>263213</xdr:colOff>
      <xdr:row>2</xdr:row>
      <xdr:rowOff>110815</xdr:rowOff>
    </xdr:from>
    <xdr:to>
      <xdr:col>4</xdr:col>
      <xdr:colOff>418013</xdr:colOff>
      <xdr:row>3</xdr:row>
      <xdr:rowOff>82735</xdr:rowOff>
    </xdr:to>
    <xdr:pic>
      <xdr:nvPicPr>
        <xdr:cNvPr id="35" name="Graphic 34" descr="Hourglass Finished with solid fill">
          <a:extLst>
            <a:ext uri="{FF2B5EF4-FFF2-40B4-BE49-F238E27FC236}">
              <a16:creationId xmlns:a16="http://schemas.microsoft.com/office/drawing/2014/main" id="{DA23B052-7CB7-BF82-542B-67CF9807A86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01613" y="476575"/>
          <a:ext cx="154800" cy="154800"/>
        </a:xfrm>
        <a:prstGeom prst="rect">
          <a:avLst/>
        </a:prstGeom>
      </xdr:spPr>
    </xdr:pic>
    <xdr:clientData/>
  </xdr:twoCellAnchor>
  <xdr:twoCellAnchor editAs="oneCell">
    <xdr:from>
      <xdr:col>0</xdr:col>
      <xdr:colOff>60960</xdr:colOff>
      <xdr:row>2</xdr:row>
      <xdr:rowOff>60956</xdr:rowOff>
    </xdr:from>
    <xdr:to>
      <xdr:col>1</xdr:col>
      <xdr:colOff>18810</xdr:colOff>
      <xdr:row>14</xdr:row>
      <xdr:rowOff>98396</xdr:rowOff>
    </xdr:to>
    <mc:AlternateContent xmlns:mc="http://schemas.openxmlformats.org/markup-compatibility/2006" xmlns:a14="http://schemas.microsoft.com/office/drawing/2010/main">
      <mc:Choice Requires="a14">
        <xdr:graphicFrame macro="">
          <xdr:nvGraphicFramePr>
            <xdr:cNvPr id="36" name="Date (Month)">
              <a:extLst>
                <a:ext uri="{FF2B5EF4-FFF2-40B4-BE49-F238E27FC236}">
                  <a16:creationId xmlns:a16="http://schemas.microsoft.com/office/drawing/2014/main" id="{4DE516A1-CDF9-455A-B560-0B4059D94E9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0960" y="426716"/>
              <a:ext cx="567450" cy="22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78379</xdr:colOff>
      <xdr:row>3</xdr:row>
      <xdr:rowOff>104504</xdr:rowOff>
    </xdr:from>
    <xdr:to>
      <xdr:col>2</xdr:col>
      <xdr:colOff>583475</xdr:colOff>
      <xdr:row>6</xdr:row>
      <xdr:rowOff>130629</xdr:rowOff>
    </xdr:to>
    <xdr:graphicFrame macro="">
      <xdr:nvGraphicFramePr>
        <xdr:cNvPr id="38" name="Chart 37">
          <a:hlinkClick xmlns:r="http://schemas.openxmlformats.org/officeDocument/2006/relationships" r:id="rId10"/>
          <a:extLst>
            <a:ext uri="{FF2B5EF4-FFF2-40B4-BE49-F238E27FC236}">
              <a16:creationId xmlns:a16="http://schemas.microsoft.com/office/drawing/2014/main" id="{A790DC03-D76E-4CFB-9CE2-26EB8FA40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42882</xdr:colOff>
      <xdr:row>4</xdr:row>
      <xdr:rowOff>139336</xdr:rowOff>
    </xdr:from>
    <xdr:to>
      <xdr:col>4</xdr:col>
      <xdr:colOff>561704</xdr:colOff>
      <xdr:row>6</xdr:row>
      <xdr:rowOff>100148</xdr:rowOff>
    </xdr:to>
    <xdr:graphicFrame macro="">
      <xdr:nvGraphicFramePr>
        <xdr:cNvPr id="41" name="Chart 40">
          <a:extLst>
            <a:ext uri="{FF2B5EF4-FFF2-40B4-BE49-F238E27FC236}">
              <a16:creationId xmlns:a16="http://schemas.microsoft.com/office/drawing/2014/main" id="{DC4C23CB-6D1E-4016-85CA-1F49EE12B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3</xdr:row>
      <xdr:rowOff>113211</xdr:rowOff>
    </xdr:from>
    <xdr:to>
      <xdr:col>6</xdr:col>
      <xdr:colOff>492034</xdr:colOff>
      <xdr:row>6</xdr:row>
      <xdr:rowOff>121920</xdr:rowOff>
    </xdr:to>
    <xdr:graphicFrame macro="">
      <xdr:nvGraphicFramePr>
        <xdr:cNvPr id="42" name="Chart 41">
          <a:hlinkClick xmlns:r="http://schemas.openxmlformats.org/officeDocument/2006/relationships" r:id="rId13"/>
          <a:extLst>
            <a:ext uri="{FF2B5EF4-FFF2-40B4-BE49-F238E27FC236}">
              <a16:creationId xmlns:a16="http://schemas.microsoft.com/office/drawing/2014/main" id="{51C5B61C-B2E9-4A12-AD22-F4DA545DE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126274</xdr:colOff>
          <xdr:row>6</xdr:row>
          <xdr:rowOff>134983</xdr:rowOff>
        </xdr:from>
        <xdr:to>
          <xdr:col>6</xdr:col>
          <xdr:colOff>465909</xdr:colOff>
          <xdr:row>9</xdr:row>
          <xdr:rowOff>67197</xdr:rowOff>
        </xdr:to>
        <xdr:pic>
          <xdr:nvPicPr>
            <xdr:cNvPr id="16" name="Picture 15">
              <a:extLst>
                <a:ext uri="{FF2B5EF4-FFF2-40B4-BE49-F238E27FC236}">
                  <a16:creationId xmlns:a16="http://schemas.microsoft.com/office/drawing/2014/main" id="{8CDB823A-FD19-8ED2-997A-43E1270DDA00}"/>
                </a:ext>
              </a:extLst>
            </xdr:cNvPr>
            <xdr:cNvPicPr>
              <a:picLocks noChangeAspect="1" noChangeArrowheads="1"/>
              <a:extLst>
                <a:ext uri="{84589F7E-364E-4C9E-8A38-B11213B215E9}">
                  <a14:cameraTool cellRange="'Pivot Report'!$A$48:$D$50" spid="_x0000_s1057"/>
                </a:ext>
              </a:extLst>
            </xdr:cNvPicPr>
          </xdr:nvPicPr>
          <xdr:blipFill>
            <a:blip xmlns:r="http://schemas.openxmlformats.org/officeDocument/2006/relationships" r:embed="rId15"/>
            <a:srcRect/>
            <a:stretch>
              <a:fillRect/>
            </a:stretch>
          </xdr:blipFill>
          <xdr:spPr bwMode="auto">
            <a:xfrm>
              <a:off x="735874" y="1232263"/>
              <a:ext cx="3387635" cy="48085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204646</xdr:colOff>
      <xdr:row>9</xdr:row>
      <xdr:rowOff>139337</xdr:rowOff>
    </xdr:from>
    <xdr:to>
      <xdr:col>6</xdr:col>
      <xdr:colOff>396239</xdr:colOff>
      <xdr:row>13</xdr:row>
      <xdr:rowOff>95794</xdr:rowOff>
    </xdr:to>
    <xdr:graphicFrame macro="">
      <xdr:nvGraphicFramePr>
        <xdr:cNvPr id="18" name="Chart 17">
          <a:extLst>
            <a:ext uri="{FF2B5EF4-FFF2-40B4-BE49-F238E27FC236}">
              <a16:creationId xmlns:a16="http://schemas.microsoft.com/office/drawing/2014/main" id="{A5DB47DA-B301-453B-A003-4BB7BCB05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xdr:col>
      <xdr:colOff>570412</xdr:colOff>
      <xdr:row>13</xdr:row>
      <xdr:rowOff>143690</xdr:rowOff>
    </xdr:from>
    <xdr:to>
      <xdr:col>5</xdr:col>
      <xdr:colOff>452846</xdr:colOff>
      <xdr:row>14</xdr:row>
      <xdr:rowOff>143690</xdr:rowOff>
    </xdr:to>
    <xdr:sp macro="" textlink="">
      <xdr:nvSpPr>
        <xdr:cNvPr id="21" name="TextBox 20">
          <a:extLst>
            <a:ext uri="{FF2B5EF4-FFF2-40B4-BE49-F238E27FC236}">
              <a16:creationId xmlns:a16="http://schemas.microsoft.com/office/drawing/2014/main" id="{65777BBA-269B-E9A6-E097-038C06B0212A}"/>
            </a:ext>
          </a:extLst>
        </xdr:cNvPr>
        <xdr:cNvSpPr txBox="1"/>
      </xdr:nvSpPr>
      <xdr:spPr>
        <a:xfrm>
          <a:off x="1180012" y="2521130"/>
          <a:ext cx="2320834"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latin typeface="Times New Roman" panose="02020603050405020304" pitchFamily="18" charset="0"/>
              <a:cs typeface="Times New Roman" panose="02020603050405020304" pitchFamily="18" charset="0"/>
            </a:rPr>
            <a:t>No.</a:t>
          </a:r>
          <a:r>
            <a:rPr lang="en-IN" sz="800" baseline="0">
              <a:latin typeface="Times New Roman" panose="02020603050405020304" pitchFamily="18" charset="0"/>
              <a:cs typeface="Times New Roman" panose="02020603050405020304" pitchFamily="18" charset="0"/>
            </a:rPr>
            <a:t> of Patient by age group</a:t>
          </a:r>
          <a:endParaRPr lang="en-IN" sz="800">
            <a:latin typeface="Times New Roman" panose="02020603050405020304" pitchFamily="18" charset="0"/>
            <a:cs typeface="Times New Roman" panose="02020603050405020304" pitchFamily="18" charset="0"/>
          </a:endParaRPr>
        </a:p>
      </xdr:txBody>
    </xdr:sp>
    <xdr:clientData/>
  </xdr:twoCellAnchor>
  <xdr:twoCellAnchor>
    <xdr:from>
      <xdr:col>7</xdr:col>
      <xdr:colOff>8709</xdr:colOff>
      <xdr:row>0</xdr:row>
      <xdr:rowOff>121920</xdr:rowOff>
    </xdr:from>
    <xdr:to>
      <xdr:col>9</xdr:col>
      <xdr:colOff>65315</xdr:colOff>
      <xdr:row>6</xdr:row>
      <xdr:rowOff>21771</xdr:rowOff>
    </xdr:to>
    <xdr:graphicFrame macro="">
      <xdr:nvGraphicFramePr>
        <xdr:cNvPr id="30" name="Chart 29">
          <a:extLst>
            <a:ext uri="{FF2B5EF4-FFF2-40B4-BE49-F238E27FC236}">
              <a16:creationId xmlns:a16="http://schemas.microsoft.com/office/drawing/2014/main" id="{D1FE66D6-B55B-4D6D-89AD-7989B3FC0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6</xdr:col>
      <xdr:colOff>592183</xdr:colOff>
      <xdr:row>5</xdr:row>
      <xdr:rowOff>17417</xdr:rowOff>
    </xdr:from>
    <xdr:to>
      <xdr:col>9</xdr:col>
      <xdr:colOff>100149</xdr:colOff>
      <xdr:row>6</xdr:row>
      <xdr:rowOff>17417</xdr:rowOff>
    </xdr:to>
    <xdr:sp macro="" textlink="'Pivot Report'!A17">
      <xdr:nvSpPr>
        <xdr:cNvPr id="32" name="TextBox 31">
          <a:extLst>
            <a:ext uri="{FF2B5EF4-FFF2-40B4-BE49-F238E27FC236}">
              <a16:creationId xmlns:a16="http://schemas.microsoft.com/office/drawing/2014/main" id="{69529CD0-FCF0-F9A1-7715-23DD30BDFEE4}"/>
            </a:ext>
          </a:extLst>
        </xdr:cNvPr>
        <xdr:cNvSpPr txBox="1"/>
      </xdr:nvSpPr>
      <xdr:spPr>
        <a:xfrm>
          <a:off x="4249783" y="931817"/>
          <a:ext cx="1336766"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latin typeface="Times New Roman" panose="02020603050405020304" pitchFamily="18" charset="0"/>
              <a:cs typeface="Times New Roman" panose="02020603050405020304" pitchFamily="18" charset="0"/>
            </a:rPr>
            <a:t>Patieint</a:t>
          </a:r>
          <a:r>
            <a:rPr lang="en-IN" sz="800" baseline="0">
              <a:latin typeface="Times New Roman" panose="02020603050405020304" pitchFamily="18" charset="0"/>
              <a:cs typeface="Times New Roman" panose="02020603050405020304" pitchFamily="18" charset="0"/>
            </a:rPr>
            <a:t>  attended within time</a:t>
          </a:r>
          <a:endParaRPr lang="en-IN" sz="800">
            <a:latin typeface="Times New Roman" panose="02020603050405020304" pitchFamily="18" charset="0"/>
            <a:cs typeface="Times New Roman" panose="02020603050405020304" pitchFamily="18" charset="0"/>
          </a:endParaRPr>
        </a:p>
      </xdr:txBody>
    </xdr:sp>
    <xdr:clientData/>
  </xdr:twoCellAnchor>
  <xdr:twoCellAnchor>
    <xdr:from>
      <xdr:col>8</xdr:col>
      <xdr:colOff>487679</xdr:colOff>
      <xdr:row>0</xdr:row>
      <xdr:rowOff>130629</xdr:rowOff>
    </xdr:from>
    <xdr:to>
      <xdr:col>11</xdr:col>
      <xdr:colOff>156754</xdr:colOff>
      <xdr:row>6</xdr:row>
      <xdr:rowOff>69668</xdr:rowOff>
    </xdr:to>
    <xdr:graphicFrame macro="">
      <xdr:nvGraphicFramePr>
        <xdr:cNvPr id="34" name="Chart 33">
          <a:extLst>
            <a:ext uri="{FF2B5EF4-FFF2-40B4-BE49-F238E27FC236}">
              <a16:creationId xmlns:a16="http://schemas.microsoft.com/office/drawing/2014/main" id="{92E10928-E393-4C0A-BF7B-3D93A636D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17417</xdr:colOff>
      <xdr:row>5</xdr:row>
      <xdr:rowOff>47897</xdr:rowOff>
    </xdr:from>
    <xdr:to>
      <xdr:col>11</xdr:col>
      <xdr:colOff>134983</xdr:colOff>
      <xdr:row>6</xdr:row>
      <xdr:rowOff>34834</xdr:rowOff>
    </xdr:to>
    <xdr:sp macro="" textlink="'Pivot Report'!A17">
      <xdr:nvSpPr>
        <xdr:cNvPr id="37" name="TextBox 36">
          <a:extLst>
            <a:ext uri="{FF2B5EF4-FFF2-40B4-BE49-F238E27FC236}">
              <a16:creationId xmlns:a16="http://schemas.microsoft.com/office/drawing/2014/main" id="{DDB30586-78B4-4FF3-22FC-3E053C0E2B2A}"/>
            </a:ext>
          </a:extLst>
        </xdr:cNvPr>
        <xdr:cNvSpPr txBox="1"/>
      </xdr:nvSpPr>
      <xdr:spPr>
        <a:xfrm>
          <a:off x="5503817" y="962297"/>
          <a:ext cx="1336766" cy="169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latin typeface="Times New Roman" panose="02020603050405020304" pitchFamily="18" charset="0"/>
              <a:cs typeface="Times New Roman" panose="02020603050405020304" pitchFamily="18" charset="0"/>
            </a:rPr>
            <a:t>Gender</a:t>
          </a:r>
          <a:r>
            <a:rPr lang="en-IN" sz="800" baseline="0">
              <a:latin typeface="Times New Roman" panose="02020603050405020304" pitchFamily="18" charset="0"/>
              <a:cs typeface="Times New Roman" panose="02020603050405020304" pitchFamily="18" charset="0"/>
            </a:rPr>
            <a:t> wise analysis</a:t>
          </a:r>
          <a:endParaRPr lang="en-IN" sz="800">
            <a:latin typeface="Times New Roman" panose="02020603050405020304" pitchFamily="18" charset="0"/>
            <a:cs typeface="Times New Roman" panose="02020603050405020304" pitchFamily="18" charset="0"/>
          </a:endParaRPr>
        </a:p>
      </xdr:txBody>
    </xdr:sp>
    <xdr:clientData/>
  </xdr:twoCellAnchor>
  <xdr:twoCellAnchor>
    <xdr:from>
      <xdr:col>7</xdr:col>
      <xdr:colOff>21771</xdr:colOff>
      <xdr:row>6</xdr:row>
      <xdr:rowOff>52251</xdr:rowOff>
    </xdr:from>
    <xdr:to>
      <xdr:col>11</xdr:col>
      <xdr:colOff>136070</xdr:colOff>
      <xdr:row>13</xdr:row>
      <xdr:rowOff>91440</xdr:rowOff>
    </xdr:to>
    <xdr:graphicFrame macro="">
      <xdr:nvGraphicFramePr>
        <xdr:cNvPr id="39" name="Chart 38">
          <a:extLst>
            <a:ext uri="{FF2B5EF4-FFF2-40B4-BE49-F238E27FC236}">
              <a16:creationId xmlns:a16="http://schemas.microsoft.com/office/drawing/2014/main" id="{A235E1E6-BE2D-4812-8763-76D3D4EAF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7</xdr:col>
      <xdr:colOff>108857</xdr:colOff>
      <xdr:row>13</xdr:row>
      <xdr:rowOff>47896</xdr:rowOff>
    </xdr:from>
    <xdr:to>
      <xdr:col>10</xdr:col>
      <xdr:colOff>457200</xdr:colOff>
      <xdr:row>14</xdr:row>
      <xdr:rowOff>47896</xdr:rowOff>
    </xdr:to>
    <xdr:sp macro="" textlink="'Pivot Report'!A17">
      <xdr:nvSpPr>
        <xdr:cNvPr id="40" name="TextBox 39">
          <a:extLst>
            <a:ext uri="{FF2B5EF4-FFF2-40B4-BE49-F238E27FC236}">
              <a16:creationId xmlns:a16="http://schemas.microsoft.com/office/drawing/2014/main" id="{6BA961E8-0D89-429D-4D20-3461E7B6E9BF}"/>
            </a:ext>
          </a:extLst>
        </xdr:cNvPr>
        <xdr:cNvSpPr txBox="1"/>
      </xdr:nvSpPr>
      <xdr:spPr>
        <a:xfrm>
          <a:off x="4376057" y="2425336"/>
          <a:ext cx="2177143"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latin typeface="Times New Roman" panose="02020603050405020304" pitchFamily="18" charset="0"/>
              <a:cs typeface="Times New Roman" panose="02020603050405020304" pitchFamily="18" charset="0"/>
            </a:rPr>
            <a:t>Number of Patient by department referral </a:t>
          </a:r>
        </a:p>
      </xdr:txBody>
    </xdr:sp>
    <xdr:clientData/>
  </xdr:twoCellAnchor>
  <xdr:twoCellAnchor editAs="oneCell">
    <xdr:from>
      <xdr:col>5</xdr:col>
      <xdr:colOff>357055</xdr:colOff>
      <xdr:row>0</xdr:row>
      <xdr:rowOff>52250</xdr:rowOff>
    </xdr:from>
    <xdr:to>
      <xdr:col>7</xdr:col>
      <xdr:colOff>95794</xdr:colOff>
      <xdr:row>1</xdr:row>
      <xdr:rowOff>169817</xdr:rowOff>
    </xdr:to>
    <mc:AlternateContent xmlns:mc="http://schemas.openxmlformats.org/markup-compatibility/2006" xmlns:a14="http://schemas.microsoft.com/office/drawing/2010/main">
      <mc:Choice Requires="a14">
        <xdr:graphicFrame macro="">
          <xdr:nvGraphicFramePr>
            <xdr:cNvPr id="43" name="Date (Year)">
              <a:extLst>
                <a:ext uri="{FF2B5EF4-FFF2-40B4-BE49-F238E27FC236}">
                  <a16:creationId xmlns:a16="http://schemas.microsoft.com/office/drawing/2014/main" id="{324F1657-8DEB-4839-821A-BA060FF03B6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05055" y="52250"/>
              <a:ext cx="957939" cy="300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601980</xdr:colOff>
      <xdr:row>18</xdr:row>
      <xdr:rowOff>68580</xdr:rowOff>
    </xdr:to>
    <xdr:graphicFrame macro="">
      <xdr:nvGraphicFramePr>
        <xdr:cNvPr id="2" name="Chart 1">
          <a:extLst>
            <a:ext uri="{FF2B5EF4-FFF2-40B4-BE49-F238E27FC236}">
              <a16:creationId xmlns:a16="http://schemas.microsoft.com/office/drawing/2014/main" id="{5225ADA3-1E44-4C7B-9760-B48AB51D0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0</xdr:row>
      <xdr:rowOff>0</xdr:rowOff>
    </xdr:from>
    <xdr:to>
      <xdr:col>0</xdr:col>
      <xdr:colOff>586740</xdr:colOff>
      <xdr:row>3</xdr:row>
      <xdr:rowOff>0</xdr:rowOff>
    </xdr:to>
    <xdr:pic>
      <xdr:nvPicPr>
        <xdr:cNvPr id="4" name="Graphic 3" descr="Work from home Wi-Fi with solid fill">
          <a:hlinkClick xmlns:r="http://schemas.openxmlformats.org/officeDocument/2006/relationships" r:id="rId2"/>
          <a:extLst>
            <a:ext uri="{FF2B5EF4-FFF2-40B4-BE49-F238E27FC236}">
              <a16:creationId xmlns:a16="http://schemas.microsoft.com/office/drawing/2014/main" id="{DF199522-C9EB-EF75-CE3B-013CB7E88F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 y="0"/>
          <a:ext cx="548640" cy="5486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213360</xdr:colOff>
      <xdr:row>2</xdr:row>
      <xdr:rowOff>7620</xdr:rowOff>
    </xdr:from>
    <xdr:to>
      <xdr:col>12</xdr:col>
      <xdr:colOff>106680</xdr:colOff>
      <xdr:row>20</xdr:row>
      <xdr:rowOff>144780</xdr:rowOff>
    </xdr:to>
    <xdr:graphicFrame macro="">
      <xdr:nvGraphicFramePr>
        <xdr:cNvPr id="2" name="Chart 1">
          <a:extLst>
            <a:ext uri="{FF2B5EF4-FFF2-40B4-BE49-F238E27FC236}">
              <a16:creationId xmlns:a16="http://schemas.microsoft.com/office/drawing/2014/main" id="{C9694413-D4D5-4768-A872-879C89634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548640</xdr:colOff>
      <xdr:row>3</xdr:row>
      <xdr:rowOff>0</xdr:rowOff>
    </xdr:to>
    <xdr:pic>
      <xdr:nvPicPr>
        <xdr:cNvPr id="3" name="Graphic 2" descr="Work from home Wi-Fi with solid fill">
          <a:hlinkClick xmlns:r="http://schemas.openxmlformats.org/officeDocument/2006/relationships" r:id="rId2"/>
          <a:extLst>
            <a:ext uri="{FF2B5EF4-FFF2-40B4-BE49-F238E27FC236}">
              <a16:creationId xmlns:a16="http://schemas.microsoft.com/office/drawing/2014/main" id="{0C166631-03B5-415B-AD21-C3C92E3932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48640" cy="5486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548640</xdr:colOff>
      <xdr:row>3</xdr:row>
      <xdr:rowOff>0</xdr:rowOff>
    </xdr:to>
    <xdr:pic>
      <xdr:nvPicPr>
        <xdr:cNvPr id="3" name="Graphic 2" descr="Work from home Wi-Fi with solid fill">
          <a:hlinkClick xmlns:r="http://schemas.openxmlformats.org/officeDocument/2006/relationships" r:id="rId1"/>
          <a:extLst>
            <a:ext uri="{FF2B5EF4-FFF2-40B4-BE49-F238E27FC236}">
              <a16:creationId xmlns:a16="http://schemas.microsoft.com/office/drawing/2014/main" id="{6D95FB66-AED5-4BC9-B762-172083C4152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548640" cy="548640"/>
        </a:xfrm>
        <a:prstGeom prst="rect">
          <a:avLst/>
        </a:prstGeom>
      </xdr:spPr>
    </xdr:pic>
    <xdr:clientData/>
  </xdr:twoCellAnchor>
  <xdr:twoCellAnchor>
    <xdr:from>
      <xdr:col>1</xdr:col>
      <xdr:colOff>68580</xdr:colOff>
      <xdr:row>2</xdr:row>
      <xdr:rowOff>160020</xdr:rowOff>
    </xdr:from>
    <xdr:to>
      <xdr:col>12</xdr:col>
      <xdr:colOff>175260</xdr:colOff>
      <xdr:row>19</xdr:row>
      <xdr:rowOff>76200</xdr:rowOff>
    </xdr:to>
    <xdr:graphicFrame macro="">
      <xdr:nvGraphicFramePr>
        <xdr:cNvPr id="4" name="Chart 3">
          <a:extLst>
            <a:ext uri="{FF2B5EF4-FFF2-40B4-BE49-F238E27FC236}">
              <a16:creationId xmlns:a16="http://schemas.microsoft.com/office/drawing/2014/main" id="{7577B403-3DD6-4CC2-B47E-AAE81A382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21.723935995367" createdVersion="5" refreshedVersion="8" minRefreshableVersion="3" recordCount="0" supportSubquery="1" supportAdvancedDrill="1" xr:uid="{B46FDB24-169E-4A9F-BC02-BD060E948AB3}">
  <cacheSource type="external" connectionId="3"/>
  <cacheFields count="4">
    <cacheField name="[Measures].[Distinct Count of Patient Id]" caption="Distinct Count of Patient Id" numFmtId="0" hierarchy="24" level="32767"/>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21.723936111113" createdVersion="5" refreshedVersion="8" minRefreshableVersion="3" recordCount="0" supportSubquery="1" supportAdvancedDrill="1" xr:uid="{B43BDCFF-94C2-4079-A3EE-2605A3DF0780}">
  <cacheSource type="external" connectionId="3"/>
  <cacheFields count="3">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21.723936111113" createdVersion="5" refreshedVersion="8" minRefreshableVersion="3" recordCount="0" supportSubquery="1" supportAdvancedDrill="1" xr:uid="{5613A5AB-1489-40C6-A168-6622E0F68C03}">
  <cacheSource type="external" connectionId="3"/>
  <cacheFields count="3">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21.723936111113" createdVersion="5" refreshedVersion="8" minRefreshableVersion="3" recordCount="0" supportSubquery="1" supportAdvancedDrill="1" xr:uid="{649CD387-07DE-4467-88C7-F2AB5B23830F}">
  <cacheSource type="external" connectionId="3"/>
  <cacheFields count="3">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21.723936458337" createdVersion="5" refreshedVersion="8" minRefreshableVersion="3" recordCount="0" supportSubquery="1" supportAdvancedDrill="1" xr:uid="{CCE8DA71-7219-4FED-9EBF-B28FB1276CE1}">
  <cacheSource type="external" connectionId="3"/>
  <cacheFields count="4">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21.723936805553" createdVersion="5" refreshedVersion="8" minRefreshableVersion="3" recordCount="0" supportSubquery="1" supportAdvancedDrill="1" xr:uid="{2AC4EF6D-2181-48C0-BCF2-EDCA609AFDB2}">
  <cacheSource type="external" connectionId="3"/>
  <cacheFields count="4">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21.723937268522" createdVersion="5" refreshedVersion="8" minRefreshableVersion="3" recordCount="0" supportSubquery="1" supportAdvancedDrill="1" xr:uid="{97EB022E-4567-457F-85DB-B2EE90B3AC2B}">
  <cacheSource type="external" connectionId="3"/>
  <cacheFields count="5">
    <cacheField name="[Calender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 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21.723937615738" createdVersion="5" refreshedVersion="8" minRefreshableVersion="3" recordCount="0" supportSubquery="1" supportAdvancedDrill="1" xr:uid="{D2F60322-7F17-451A-9185-6651240F453C}">
  <cacheSource type="external" connectionId="3"/>
  <cacheFields count="4">
    <cacheField name="[Calende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21.723937962961" createdVersion="5" refreshedVersion="8" minRefreshableVersion="3" recordCount="0" supportSubquery="1" supportAdvancedDrill="1" xr:uid="{8F90F8D3-1CC6-4B2C-B0DB-AFEFC5FB1E49}">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eint Attend Status].[Pateint Attend Status]" caption="Pateint Attend Status" numFmtId="0" hierarchy="17" level="1">
      <sharedItems count="2">
        <s v="Delay"/>
        <s v="Ontime"/>
      </sharedItems>
    </cacheField>
    <cacheField name="[Measures].[Count of Pateint Attend Status]" caption="Count of Pateint Attend Status" numFmtId="0" hierarchy="33"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21.723938310184" createdVersion="5" refreshedVersion="8" minRefreshableVersion="3" recordCount="0" supportSubquery="1" supportAdvancedDrill="1" xr:uid="{435B2220-2B66-46A9-832F-D35D59383A96}">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21.723938657407" createdVersion="5" refreshedVersion="8" minRefreshableVersion="3" recordCount="0" supportSubquery="1" supportAdvancedDrill="1" xr:uid="{26EDA2CA-0C48-4BE4-ABB3-847E68DFE201}">
  <cacheSource type="external" connectionId="3"/>
  <cacheFields count="4">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21.723939004631" createdVersion="5" refreshedVersion="8" minRefreshableVersion="3" recordCount="0" supportSubquery="1" supportAdvancedDrill="1" xr:uid="{E7411564-2C0D-4CA1-90AD-1935A95F9935}">
  <cacheSource type="external" connectionId="3"/>
  <cacheFields count="4">
    <cacheField name="[Calender Table].[Date (Month)].[Date (Month)]" caption="Date (Month)" numFmtId="0" hierarchy="1" level="1">
      <sharedItems count="1">
        <s v="Aug"/>
      </sharedItems>
    </cacheField>
    <cacheField name="[Calender 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 Table].[Date (Quarter)].[Date (Quarter)]" caption="Date (Quarter)" numFmtId="0" hierarchy="4" level="1">
      <sharedItems count="1">
        <s v="Qtr3"/>
      </sharedItems>
    </cacheField>
    <cacheField name="[Calender Table].[Date (Year)].[Date (Year)]" caption="Date (Year)" numFmtId="0" hierarchy="3" level="1">
      <sharedItems count="1">
        <s v="2024"/>
      </sharedItems>
    </cacheField>
  </cacheFields>
  <cacheHierarchies count="36">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d Wheat-CCL" refreshedDate="46119.92550474537" createdVersion="3" refreshedVersion="8" minRefreshableVersion="3" recordCount="0" supportSubquery="1" supportAdvancedDrill="1" xr:uid="{A32B7B7E-912A-4FDA-A414-2A4F1EBA85C8}">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Customer Name]" caption="Customer Name" attribute="1" defaultMemberUniqueName="[Hospital Emergency Room Data].[Customer Name].[All]" allUniqueName="[Hospital Emergency Room Data].[Customer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int Attend Status]" caption="Pateint Attend Status" attribute="1" defaultMemberUniqueName="[Hospital Emergency Room Data].[Pateint Attend Status].[All]" allUniqueName="[Hospital Emergency Room Data].[Patei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eint Attend Status]" caption="Count of Patei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171211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7D8781-BABE-4711-9C10-B9A0797E5AAF}" name="PivotTable6" cacheId="14" applyNumberFormats="0" applyBorderFormats="0" applyFontFormats="0" applyPatternFormats="0" applyAlignmentFormats="0" applyWidthHeightFormats="1" dataCaption="Values" tag="13b5f0f0-126e-4466-929e-c41ae5743cb3" updatedVersion="8" minRefreshableVersion="3" itemPrintTitles="1" createdVersion="5" indent="0" outline="1" outlineData="1" multipleFieldFilters="0" chartFormat="37">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11"/>
  </dataFields>
  <formats count="1">
    <format dxfId="0">
      <pivotArea outline="0" collapsedLevelsAreSubtotals="1" fieldPosition="0"/>
    </format>
  </formats>
  <chartFormats count="2">
    <chartFormat chart="33"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CE314E-2D50-4FBA-A6B4-38F52B285178}" name="PivotTable4" cacheId="9" applyNumberFormats="0" applyBorderFormats="0" applyFontFormats="0" applyPatternFormats="0" applyAlignmentFormats="0" applyWidthHeightFormats="1" dataCaption="Values" tag="74b94422-ba85-49a9-9fc4-192f440937d2" updatedVersion="8" minRefreshableVersion="3" itemPrintTitles="1" createdVersion="5" indent="0" outline="1" outlineData="1" multipleFieldFilters="0" chartFormat="19">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14"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ED5E38-31AD-4B20-AC4D-6792EB60210F}" name="PivotTable2" cacheId="11" applyNumberFormats="0" applyBorderFormats="0" applyFontFormats="0" applyPatternFormats="0" applyAlignmentFormats="0" applyWidthHeightFormats="1" dataCaption="Values" tag="709675a4-9860-4018-a9dc-83022d7cdd61" updatedVersion="8" minRefreshableVersion="3"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FB2234-CA5D-4434-9240-C7020CD78375}" name="PivotTable8" cacheId="16" applyNumberFormats="0" applyBorderFormats="0" applyFontFormats="0" applyPatternFormats="0" applyAlignmentFormats="0" applyWidthHeightFormats="1" dataCaption="Values" tag="5cc172da-b31b-42fc-aa7b-ddcdee70d110" updatedVersion="8" minRefreshableVersion="3" itemPrintTitles="1" createdVersion="5" indent="0" outline="1" outlineData="1" multipleFieldFilters="0" chartFormat="11">
  <location ref="A55: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10" format="3"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4CCC8F-4991-4C02-8F72-E0D8113C2C46}" name="PivotTable1" cacheId="10" applyNumberFormats="0" applyBorderFormats="0" applyFontFormats="0" applyPatternFormats="0" applyAlignmentFormats="0" applyWidthHeightFormats="1" dataCaption="Values" tag="59084097-936b-4494-9979-cd654489df98"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D7D7C5-EB98-4097-B70C-A609474F602E}" name="PivotTable14" cacheId="20" applyNumberFormats="0" applyBorderFormats="0" applyFontFormats="0" applyPatternFormats="0" applyAlignmentFormats="0" applyWidthHeightFormats="1" dataCaption="Values" tag="67cdc472-b5be-40e8-9e6d-a8c5b90dfbc3" updatedVersion="8" minRefreshableVersion="3" itemPrintTitles="1" createdVersion="5" indent="0" outline="1" outlineData="1" multipleFieldFilters="0" chartFormat="26">
  <location ref="A72:A7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0B44EB-2D88-4623-A64F-4B866D7AA65B}" name="PivotTable7" cacheId="15" applyNumberFormats="0" applyBorderFormats="0" applyFontFormats="0" applyPatternFormats="0" applyAlignmentFormats="0" applyWidthHeightFormats="1" dataCaption="Values" tag="eb4ff4ea-97ce-45e8-8941-a7f741d75700" updatedVersion="8" minRefreshableVersion="3" itemPrintTitles="1" createdVersion="5" indent="0" outline="1" outlineData="1" multipleFieldFilters="0" chartFormat="8">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7">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61C95D-656E-434D-95BD-22015A0C9BE2}" name="PivotTable3" cacheId="12" applyNumberFormats="0" applyBorderFormats="0" applyFontFormats="0" applyPatternFormats="0" applyAlignmentFormats="0" applyWidthHeightFormats="1" dataCaption="Values" tag="4780dde8-305b-4223-ae25-22f4a731449f" updatedVersion="8" minRefreshableVersion="3"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
      <pivotArea outline="0" collapsedLevelsAreSubtotals="1" fieldPosition="0"/>
    </format>
  </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614DD1-5A69-4FE2-8805-98BA1A48F992}" name="PivotTable11" cacheId="19" applyNumberFormats="0" applyBorderFormats="0" applyFontFormats="0" applyPatternFormats="0" applyAlignmentFormats="0" applyWidthHeightFormats="1" dataCaption="Values" tag="483b14c8-c3ba-4dfe-9868-46181bbd3d32" updatedVersion="8" minRefreshableVersion="3" itemPrintTitles="1" createdVersion="5" indent="0" outline="1" outlineData="1" multipleFieldFilters="0" chartFormat="26">
  <location ref="C73:D82"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3A7C6E-ACA3-4031-92AB-71B0ADD53649}" name="PivotTable9" cacheId="17" applyNumberFormats="0" applyBorderFormats="0" applyFontFormats="0" applyPatternFormats="0" applyAlignmentFormats="0" applyWidthHeightFormats="1" dataCaption="Values" tag="de50a6d8-ba6d-4af0-b122-ed02d287cb8a" updatedVersion="8" minRefreshableVersion="3" itemPrintTitles="1" createdVersion="5" indent="0" outline="1" outlineData="1" multipleFieldFilters="0" chartFormat="17">
  <location ref="E55:F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eint Attend Status" fld="2" subtotal="count" baseField="0" baseItem="0"/>
  </dataField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2F2659-0F3E-4E34-91C7-DF9F0E2F31CE}" name="PivotTable10" cacheId="18" applyNumberFormats="0" applyBorderFormats="0" applyFontFormats="0" applyPatternFormats="0" applyAlignmentFormats="0" applyWidthHeightFormats="1" dataCaption="Values" tag="5abe7b40-7f7f-42f2-832f-380daa7d5253" updatedVersion="8" minRefreshableVersion="3" itemPrintTitles="1" createdVersion="5" indent="0" outline="1" outlineData="1" multipleFieldFilters="0" chartFormat="23">
  <location ref="E64:F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638218-231E-4681-BD85-44CF6473572F}" name="PivotTable5" cacheId="13" applyNumberFormats="0" applyBorderFormats="0" applyFontFormats="0" applyPatternFormats="0" applyAlignmentFormats="0" applyWidthHeightFormats="1" dataCaption="Values" tag="a702ed89-a6c5-4e74-82e5-4f6e1ac8cbe0" updatedVersion="8" minRefreshableVersion="3" itemPrintTitles="1" createdVersion="5" indent="0" outline="1" outlineData="1" multipleFieldFilters="0" chartFormat="30">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2" numFmtId="2"/>
  </dataFields>
  <formats count="1">
    <format dxfId="3">
      <pivotArea outline="0" collapsedLevelsAreSubtotals="1" fieldPosition="0"/>
    </format>
  </formats>
  <chartFormats count="2">
    <chartFormat chart="24" format="4"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C55768D-44A1-4F9D-8D22-220D5EF0C502}" sourceName="[Calende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4"/>
  </pivotTables>
  <data>
    <olap pivotCacheId="1717121146">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DAD26A0-97B6-44B0-B512-DAD699DF2835}" sourceName="[Calender Table].[Date (Year)]">
  <pivotTables>
    <pivotTable tabId="1" name="PivotTable14"/>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717121146">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08BFDFF-D923-4E42-9382-AFB3ACDD65A5}" cache="Slicer_Date__Month" caption="Date (Month)" showCaption="0" level="1" style="My Style " rowHeight="144000"/>
  <slicer name="Date (Year)" xr10:uid="{318F77A2-2A91-4CA9-AE66-B19F53D7E805}" cache="Slicer_Date__Year" caption="Date (Year)" columnCount="2" showCaption="0" level="1" style="My Style "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5D1CE-4672-432E-99DA-543A1CEE834B}">
  <dimension ref="A3:K82"/>
  <sheetViews>
    <sheetView topLeftCell="A37" workbookViewId="0">
      <selection activeCell="C40" sqref="C40"/>
    </sheetView>
  </sheetViews>
  <sheetFormatPr defaultRowHeight="14.4" x14ac:dyDescent="0.3"/>
  <cols>
    <col min="1" max="1" width="31.77734375" bestFit="1" customWidth="1"/>
    <col min="2" max="2" width="13.5546875" customWidth="1"/>
    <col min="3" max="3" width="28.44140625" bestFit="1" customWidth="1"/>
    <col min="4" max="4" width="25.33203125" customWidth="1"/>
    <col min="5" max="5" width="12.44140625" bestFit="1" customWidth="1"/>
    <col min="6" max="6" width="26.109375" bestFit="1" customWidth="1"/>
    <col min="7" max="7" width="10.6640625" customWidth="1"/>
    <col min="8" max="8" width="24.44140625" customWidth="1"/>
    <col min="9" max="9" width="25.77734375" customWidth="1"/>
    <col min="11" max="11" width="24.21875" bestFit="1" customWidth="1"/>
    <col min="15" max="15" width="16.21875" bestFit="1" customWidth="1"/>
  </cols>
  <sheetData>
    <row r="3" spans="1:11" x14ac:dyDescent="0.3">
      <c r="A3" t="s">
        <v>3</v>
      </c>
      <c r="C3" t="s">
        <v>6</v>
      </c>
      <c r="G3" t="s">
        <v>7</v>
      </c>
      <c r="J3" t="s">
        <v>8</v>
      </c>
    </row>
    <row r="4" spans="1:11" x14ac:dyDescent="0.3">
      <c r="A4" t="s">
        <v>2</v>
      </c>
      <c r="C4" s="1" t="s">
        <v>0</v>
      </c>
      <c r="D4" t="s">
        <v>2</v>
      </c>
      <c r="G4" s="1" t="s">
        <v>0</v>
      </c>
      <c r="H4" t="s">
        <v>4</v>
      </c>
      <c r="J4" s="1" t="s">
        <v>0</v>
      </c>
      <c r="K4" t="s">
        <v>5</v>
      </c>
    </row>
    <row r="5" spans="1:11" x14ac:dyDescent="0.3">
      <c r="A5">
        <v>513</v>
      </c>
      <c r="C5" s="2" t="s">
        <v>44</v>
      </c>
      <c r="D5">
        <v>19</v>
      </c>
      <c r="G5" s="2" t="s">
        <v>44</v>
      </c>
      <c r="H5" s="3">
        <v>37.789473684210527</v>
      </c>
      <c r="J5" s="2" t="s">
        <v>44</v>
      </c>
      <c r="K5" s="3">
        <v>6.666666666666667</v>
      </c>
    </row>
    <row r="6" spans="1:11" x14ac:dyDescent="0.3">
      <c r="C6" s="2" t="s">
        <v>45</v>
      </c>
      <c r="D6">
        <v>14</v>
      </c>
      <c r="G6" s="2" t="s">
        <v>45</v>
      </c>
      <c r="H6" s="3">
        <v>38.214285714285715</v>
      </c>
      <c r="J6" s="2" t="s">
        <v>45</v>
      </c>
      <c r="K6" s="3">
        <v>3.5</v>
      </c>
    </row>
    <row r="7" spans="1:11" x14ac:dyDescent="0.3">
      <c r="C7" s="2" t="s">
        <v>46</v>
      </c>
      <c r="D7">
        <v>13</v>
      </c>
      <c r="G7" s="2" t="s">
        <v>46</v>
      </c>
      <c r="H7" s="3">
        <v>40.92307692307692</v>
      </c>
      <c r="J7" s="2" t="s">
        <v>46</v>
      </c>
      <c r="K7" s="3">
        <v>4.5</v>
      </c>
    </row>
    <row r="8" spans="1:11" x14ac:dyDescent="0.3">
      <c r="C8" s="2" t="s">
        <v>47</v>
      </c>
      <c r="D8">
        <v>22</v>
      </c>
      <c r="G8" s="2" t="s">
        <v>47</v>
      </c>
      <c r="H8" s="3">
        <v>34.5</v>
      </c>
      <c r="J8" s="2" t="s">
        <v>47</v>
      </c>
      <c r="K8" s="3">
        <v>4.8</v>
      </c>
    </row>
    <row r="9" spans="1:11" x14ac:dyDescent="0.3">
      <c r="A9" t="s">
        <v>4</v>
      </c>
      <c r="C9" s="2" t="s">
        <v>48</v>
      </c>
      <c r="D9">
        <v>19</v>
      </c>
      <c r="G9" s="2" t="s">
        <v>48</v>
      </c>
      <c r="H9" s="3">
        <v>30.684210526315791</v>
      </c>
      <c r="J9" s="2" t="s">
        <v>48</v>
      </c>
      <c r="K9" s="3">
        <v>7.75</v>
      </c>
    </row>
    <row r="10" spans="1:11" x14ac:dyDescent="0.3">
      <c r="A10" s="3">
        <v>36.323586744639378</v>
      </c>
      <c r="C10" s="2" t="s">
        <v>49</v>
      </c>
      <c r="D10">
        <v>15</v>
      </c>
      <c r="G10" s="2" t="s">
        <v>49</v>
      </c>
      <c r="H10" s="3">
        <v>37.666666666666664</v>
      </c>
      <c r="J10" s="2" t="s">
        <v>49</v>
      </c>
      <c r="K10" s="3">
        <v>6.2</v>
      </c>
    </row>
    <row r="11" spans="1:11" x14ac:dyDescent="0.3">
      <c r="C11" s="2" t="s">
        <v>50</v>
      </c>
      <c r="D11">
        <v>12</v>
      </c>
      <c r="G11" s="2" t="s">
        <v>50</v>
      </c>
      <c r="H11" s="3">
        <v>36.083333333333336</v>
      </c>
      <c r="J11" s="2" t="s">
        <v>50</v>
      </c>
      <c r="K11" s="3">
        <v>3.75</v>
      </c>
    </row>
    <row r="12" spans="1:11" x14ac:dyDescent="0.3">
      <c r="C12" s="2" t="s">
        <v>51</v>
      </c>
      <c r="D12">
        <v>21</v>
      </c>
      <c r="G12" s="2" t="s">
        <v>51</v>
      </c>
      <c r="H12" s="3">
        <v>43.523809523809526</v>
      </c>
      <c r="J12" s="2" t="s">
        <v>51</v>
      </c>
      <c r="K12" s="3">
        <v>6.5</v>
      </c>
    </row>
    <row r="13" spans="1:11" x14ac:dyDescent="0.3">
      <c r="C13" s="2" t="s">
        <v>52</v>
      </c>
      <c r="D13">
        <v>12</v>
      </c>
      <c r="G13" s="2" t="s">
        <v>52</v>
      </c>
      <c r="H13" s="3">
        <v>29.5</v>
      </c>
      <c r="J13" s="2" t="s">
        <v>52</v>
      </c>
      <c r="K13" s="3">
        <v>3</v>
      </c>
    </row>
    <row r="14" spans="1:11" x14ac:dyDescent="0.3">
      <c r="C14" s="2" t="s">
        <v>53</v>
      </c>
      <c r="D14">
        <v>13</v>
      </c>
      <c r="G14" s="2" t="s">
        <v>53</v>
      </c>
      <c r="H14" s="3">
        <v>38.07692307692308</v>
      </c>
      <c r="J14" s="2" t="s">
        <v>53</v>
      </c>
      <c r="K14" s="3">
        <v>4.5</v>
      </c>
    </row>
    <row r="15" spans="1:11" x14ac:dyDescent="0.3">
      <c r="C15" s="2" t="s">
        <v>54</v>
      </c>
      <c r="D15">
        <v>13</v>
      </c>
      <c r="G15" s="2" t="s">
        <v>54</v>
      </c>
      <c r="H15" s="3">
        <v>35.846153846153847</v>
      </c>
      <c r="J15" s="2" t="s">
        <v>54</v>
      </c>
      <c r="K15" s="3">
        <v>6</v>
      </c>
    </row>
    <row r="16" spans="1:11" x14ac:dyDescent="0.3">
      <c r="A16" t="s">
        <v>5</v>
      </c>
      <c r="C16" s="2" t="s">
        <v>55</v>
      </c>
      <c r="D16">
        <v>16</v>
      </c>
      <c r="G16" s="2" t="s">
        <v>55</v>
      </c>
      <c r="H16" s="3">
        <v>32.625</v>
      </c>
      <c r="J16" s="2" t="s">
        <v>55</v>
      </c>
      <c r="K16" s="3">
        <v>5.2</v>
      </c>
    </row>
    <row r="17" spans="1:11" x14ac:dyDescent="0.3">
      <c r="A17" s="3">
        <v>4.9591836734693882</v>
      </c>
      <c r="C17" s="2" t="s">
        <v>56</v>
      </c>
      <c r="D17">
        <v>20</v>
      </c>
      <c r="G17" s="2" t="s">
        <v>56</v>
      </c>
      <c r="H17" s="3">
        <v>39.200000000000003</v>
      </c>
      <c r="J17" s="2" t="s">
        <v>56</v>
      </c>
      <c r="K17" s="3">
        <v>4.4000000000000004</v>
      </c>
    </row>
    <row r="18" spans="1:11" x14ac:dyDescent="0.3">
      <c r="C18" s="2" t="s">
        <v>57</v>
      </c>
      <c r="D18">
        <v>25</v>
      </c>
      <c r="G18" s="2" t="s">
        <v>57</v>
      </c>
      <c r="H18" s="3">
        <v>35.28</v>
      </c>
      <c r="J18" s="2" t="s">
        <v>57</v>
      </c>
      <c r="K18" s="3">
        <v>3.4545454545454546</v>
      </c>
    </row>
    <row r="19" spans="1:11" x14ac:dyDescent="0.3">
      <c r="C19" s="2" t="s">
        <v>58</v>
      </c>
      <c r="D19">
        <v>20</v>
      </c>
      <c r="G19" s="2" t="s">
        <v>58</v>
      </c>
      <c r="H19" s="3">
        <v>32.549999999999997</v>
      </c>
      <c r="J19" s="2" t="s">
        <v>58</v>
      </c>
      <c r="K19" s="3">
        <v>4.4000000000000004</v>
      </c>
    </row>
    <row r="20" spans="1:11" x14ac:dyDescent="0.3">
      <c r="C20" s="2" t="s">
        <v>59</v>
      </c>
      <c r="D20">
        <v>14</v>
      </c>
      <c r="G20" s="2" t="s">
        <v>59</v>
      </c>
      <c r="H20" s="3">
        <v>35.642857142857146</v>
      </c>
      <c r="J20" s="2" t="s">
        <v>59</v>
      </c>
      <c r="K20" s="3">
        <v>5.833333333333333</v>
      </c>
    </row>
    <row r="21" spans="1:11" x14ac:dyDescent="0.3">
      <c r="C21" s="2" t="s">
        <v>60</v>
      </c>
      <c r="D21">
        <v>17</v>
      </c>
      <c r="G21" s="2" t="s">
        <v>60</v>
      </c>
      <c r="H21" s="3">
        <v>38.764705882352942</v>
      </c>
      <c r="J21" s="2" t="s">
        <v>60</v>
      </c>
      <c r="K21" s="3">
        <v>4.4444444444444446</v>
      </c>
    </row>
    <row r="22" spans="1:11" x14ac:dyDescent="0.3">
      <c r="C22" s="2" t="s">
        <v>61</v>
      </c>
      <c r="D22">
        <v>20</v>
      </c>
      <c r="G22" s="2" t="s">
        <v>61</v>
      </c>
      <c r="H22" s="3">
        <v>39.9</v>
      </c>
      <c r="J22" s="2" t="s">
        <v>61</v>
      </c>
      <c r="K22" s="3">
        <v>5.333333333333333</v>
      </c>
    </row>
    <row r="23" spans="1:11" x14ac:dyDescent="0.3">
      <c r="C23" s="2" t="s">
        <v>62</v>
      </c>
      <c r="D23">
        <v>10</v>
      </c>
      <c r="G23" s="2" t="s">
        <v>62</v>
      </c>
      <c r="H23" s="3">
        <v>41.6</v>
      </c>
      <c r="J23" s="2" t="s">
        <v>62</v>
      </c>
      <c r="K23" s="3">
        <v>5.333333333333333</v>
      </c>
    </row>
    <row r="24" spans="1:11" x14ac:dyDescent="0.3">
      <c r="C24" s="2" t="s">
        <v>63</v>
      </c>
      <c r="D24">
        <v>17</v>
      </c>
      <c r="G24" s="2" t="s">
        <v>63</v>
      </c>
      <c r="H24" s="3">
        <v>39.470588235294116</v>
      </c>
      <c r="J24" s="2" t="s">
        <v>63</v>
      </c>
      <c r="K24" s="3">
        <v>5.5714285714285712</v>
      </c>
    </row>
    <row r="25" spans="1:11" x14ac:dyDescent="0.3">
      <c r="C25" s="2" t="s">
        <v>64</v>
      </c>
      <c r="D25">
        <v>15</v>
      </c>
      <c r="G25" s="2" t="s">
        <v>64</v>
      </c>
      <c r="H25" s="3">
        <v>27.733333333333334</v>
      </c>
      <c r="J25" s="2" t="s">
        <v>64</v>
      </c>
      <c r="K25" s="3">
        <v>5</v>
      </c>
    </row>
    <row r="26" spans="1:11" x14ac:dyDescent="0.3">
      <c r="C26" s="2" t="s">
        <v>65</v>
      </c>
      <c r="D26">
        <v>16</v>
      </c>
      <c r="G26" s="2" t="s">
        <v>65</v>
      </c>
      <c r="H26" s="3">
        <v>36.875</v>
      </c>
      <c r="J26" s="2" t="s">
        <v>65</v>
      </c>
      <c r="K26" s="3">
        <v>6.4</v>
      </c>
    </row>
    <row r="27" spans="1:11" x14ac:dyDescent="0.3">
      <c r="C27" s="2" t="s">
        <v>66</v>
      </c>
      <c r="D27">
        <v>18</v>
      </c>
      <c r="G27" s="2" t="s">
        <v>66</v>
      </c>
      <c r="H27" s="3">
        <v>40.333333333333336</v>
      </c>
      <c r="J27" s="2" t="s">
        <v>66</v>
      </c>
      <c r="K27" s="3">
        <v>5.333333333333333</v>
      </c>
    </row>
    <row r="28" spans="1:11" x14ac:dyDescent="0.3">
      <c r="C28" s="2" t="s">
        <v>67</v>
      </c>
      <c r="D28">
        <v>16</v>
      </c>
      <c r="G28" s="2" t="s">
        <v>67</v>
      </c>
      <c r="H28" s="3">
        <v>36.5</v>
      </c>
      <c r="J28" s="2" t="s">
        <v>67</v>
      </c>
      <c r="K28" s="3">
        <v>3.75</v>
      </c>
    </row>
    <row r="29" spans="1:11" x14ac:dyDescent="0.3">
      <c r="C29" s="2" t="s">
        <v>68</v>
      </c>
      <c r="D29">
        <v>15</v>
      </c>
      <c r="G29" s="2" t="s">
        <v>68</v>
      </c>
      <c r="H29" s="3">
        <v>32.866666666666667</v>
      </c>
      <c r="J29" s="2" t="s">
        <v>68</v>
      </c>
      <c r="K29" s="3">
        <v>6.333333333333333</v>
      </c>
    </row>
    <row r="30" spans="1:11" x14ac:dyDescent="0.3">
      <c r="C30" s="2" t="s">
        <v>69</v>
      </c>
      <c r="D30">
        <v>14</v>
      </c>
      <c r="G30" s="2" t="s">
        <v>69</v>
      </c>
      <c r="H30" s="3">
        <v>36.642857142857146</v>
      </c>
      <c r="J30" s="2" t="s">
        <v>69</v>
      </c>
      <c r="K30" s="3">
        <v>10</v>
      </c>
    </row>
    <row r="31" spans="1:11" x14ac:dyDescent="0.3">
      <c r="C31" s="2" t="s">
        <v>70</v>
      </c>
      <c r="D31">
        <v>16</v>
      </c>
      <c r="G31" s="2" t="s">
        <v>70</v>
      </c>
      <c r="H31" s="3">
        <v>36.5625</v>
      </c>
      <c r="J31" s="2" t="s">
        <v>70</v>
      </c>
      <c r="K31" s="3">
        <v>5</v>
      </c>
    </row>
    <row r="32" spans="1:11" x14ac:dyDescent="0.3">
      <c r="C32" s="2" t="s">
        <v>71</v>
      </c>
      <c r="D32">
        <v>20</v>
      </c>
      <c r="G32" s="2" t="s">
        <v>71</v>
      </c>
      <c r="H32" s="3">
        <v>32.15</v>
      </c>
      <c r="J32" s="2" t="s">
        <v>71</v>
      </c>
      <c r="K32" s="3">
        <v>5.333333333333333</v>
      </c>
    </row>
    <row r="33" spans="1:11" x14ac:dyDescent="0.3">
      <c r="C33" s="2" t="s">
        <v>72</v>
      </c>
      <c r="D33">
        <v>19</v>
      </c>
      <c r="G33" s="2" t="s">
        <v>72</v>
      </c>
      <c r="H33" s="3">
        <v>38.368421052631582</v>
      </c>
      <c r="J33" s="2" t="s">
        <v>72</v>
      </c>
      <c r="K33" s="3">
        <v>4.8</v>
      </c>
    </row>
    <row r="34" spans="1:11" x14ac:dyDescent="0.3">
      <c r="C34" s="2" t="s">
        <v>73</v>
      </c>
      <c r="D34">
        <v>14</v>
      </c>
      <c r="G34" s="2" t="s">
        <v>73</v>
      </c>
      <c r="H34" s="3">
        <v>33.071428571428569</v>
      </c>
      <c r="J34" s="2" t="s">
        <v>73</v>
      </c>
      <c r="K34" s="3">
        <v>5</v>
      </c>
    </row>
    <row r="35" spans="1:11" x14ac:dyDescent="0.3">
      <c r="C35" s="2" t="s">
        <v>74</v>
      </c>
      <c r="D35">
        <v>18</v>
      </c>
      <c r="G35" s="2" t="s">
        <v>74</v>
      </c>
      <c r="H35" s="3">
        <v>36.444444444444443</v>
      </c>
      <c r="J35" s="2" t="s">
        <v>74</v>
      </c>
      <c r="K35" s="3">
        <v>1.4</v>
      </c>
    </row>
    <row r="36" spans="1:11" x14ac:dyDescent="0.3">
      <c r="C36" s="2" t="s">
        <v>1</v>
      </c>
      <c r="D36">
        <v>513</v>
      </c>
      <c r="G36" s="2" t="s">
        <v>1</v>
      </c>
      <c r="H36" s="3">
        <v>36.323586744639378</v>
      </c>
      <c r="J36" s="2" t="s">
        <v>1</v>
      </c>
      <c r="K36" s="3">
        <v>4.9591836734693882</v>
      </c>
    </row>
    <row r="39" spans="1:11" x14ac:dyDescent="0.3">
      <c r="A39" s="1" t="s">
        <v>0</v>
      </c>
      <c r="B39" t="s">
        <v>11</v>
      </c>
      <c r="C39" t="s">
        <v>12</v>
      </c>
    </row>
    <row r="40" spans="1:11" x14ac:dyDescent="0.3">
      <c r="A40" s="2" t="s">
        <v>9</v>
      </c>
      <c r="B40">
        <v>269</v>
      </c>
      <c r="C40" s="11">
        <v>0.52436647173489281</v>
      </c>
    </row>
    <row r="41" spans="1:11" x14ac:dyDescent="0.3">
      <c r="A41" s="2" t="s">
        <v>10</v>
      </c>
      <c r="B41">
        <v>244</v>
      </c>
      <c r="C41" s="11">
        <v>0.47563352826510719</v>
      </c>
    </row>
    <row r="42" spans="1:11" x14ac:dyDescent="0.3">
      <c r="A42" s="2" t="s">
        <v>1</v>
      </c>
      <c r="B42">
        <v>513</v>
      </c>
      <c r="C42" s="11">
        <v>1</v>
      </c>
    </row>
    <row r="48" spans="1:11" x14ac:dyDescent="0.3">
      <c r="A48" s="14" t="s">
        <v>13</v>
      </c>
      <c r="B48" s="14" t="s">
        <v>15</v>
      </c>
      <c r="C48" s="14" t="s">
        <v>14</v>
      </c>
      <c r="D48" s="14"/>
    </row>
    <row r="49" spans="1:6" x14ac:dyDescent="0.3">
      <c r="A49" s="12" t="str">
        <f t="shared" ref="A49:C49" si="0">A41</f>
        <v>Not Admitted</v>
      </c>
      <c r="B49" s="12">
        <f t="shared" si="0"/>
        <v>244</v>
      </c>
      <c r="C49" s="13">
        <f t="shared" si="0"/>
        <v>0.47563352826510719</v>
      </c>
      <c r="D49" s="12"/>
    </row>
    <row r="50" spans="1:6" x14ac:dyDescent="0.3">
      <c r="A50" s="12" t="str">
        <f>A40</f>
        <v>Admitted</v>
      </c>
      <c r="B50" s="12">
        <f>B40</f>
        <v>269</v>
      </c>
      <c r="C50" s="13">
        <f>C40</f>
        <v>0.52436647173489281</v>
      </c>
      <c r="D50" s="12"/>
    </row>
    <row r="54" spans="1:6" x14ac:dyDescent="0.3">
      <c r="A54" t="s">
        <v>25</v>
      </c>
      <c r="E54" t="s">
        <v>29</v>
      </c>
    </row>
    <row r="55" spans="1:6" x14ac:dyDescent="0.3">
      <c r="A55" s="1" t="s">
        <v>0</v>
      </c>
      <c r="B55" t="s">
        <v>24</v>
      </c>
      <c r="E55" s="1" t="s">
        <v>0</v>
      </c>
      <c r="F55" t="s">
        <v>28</v>
      </c>
    </row>
    <row r="56" spans="1:6" x14ac:dyDescent="0.3">
      <c r="A56" s="2" t="s">
        <v>16</v>
      </c>
      <c r="B56">
        <v>76</v>
      </c>
      <c r="E56" s="2" t="s">
        <v>26</v>
      </c>
      <c r="F56">
        <v>316</v>
      </c>
    </row>
    <row r="57" spans="1:6" x14ac:dyDescent="0.3">
      <c r="A57" s="2" t="s">
        <v>17</v>
      </c>
      <c r="B57">
        <v>69</v>
      </c>
      <c r="E57" s="2" t="s">
        <v>27</v>
      </c>
      <c r="F57">
        <v>197</v>
      </c>
    </row>
    <row r="58" spans="1:6" x14ac:dyDescent="0.3">
      <c r="A58" s="2" t="s">
        <v>18</v>
      </c>
      <c r="B58">
        <v>64</v>
      </c>
      <c r="E58" s="2" t="s">
        <v>1</v>
      </c>
      <c r="F58">
        <v>513</v>
      </c>
    </row>
    <row r="59" spans="1:6" x14ac:dyDescent="0.3">
      <c r="A59" s="2" t="s">
        <v>19</v>
      </c>
      <c r="B59">
        <v>59</v>
      </c>
    </row>
    <row r="60" spans="1:6" x14ac:dyDescent="0.3">
      <c r="A60" s="2" t="s">
        <v>20</v>
      </c>
      <c r="B60">
        <v>58</v>
      </c>
    </row>
    <row r="61" spans="1:6" x14ac:dyDescent="0.3">
      <c r="A61" s="2" t="s">
        <v>21</v>
      </c>
      <c r="B61">
        <v>66</v>
      </c>
    </row>
    <row r="62" spans="1:6" x14ac:dyDescent="0.3">
      <c r="A62" s="2" t="s">
        <v>22</v>
      </c>
      <c r="B62">
        <v>99</v>
      </c>
    </row>
    <row r="63" spans="1:6" x14ac:dyDescent="0.3">
      <c r="A63" s="2" t="s">
        <v>23</v>
      </c>
      <c r="B63">
        <v>22</v>
      </c>
      <c r="F63" t="s">
        <v>33</v>
      </c>
    </row>
    <row r="64" spans="1:6" x14ac:dyDescent="0.3">
      <c r="A64" s="2" t="s">
        <v>1</v>
      </c>
      <c r="B64">
        <v>513</v>
      </c>
      <c r="E64" s="1" t="s">
        <v>0</v>
      </c>
      <c r="F64" t="s">
        <v>32</v>
      </c>
    </row>
    <row r="65" spans="1:6" x14ac:dyDescent="0.3">
      <c r="E65" s="2" t="s">
        <v>30</v>
      </c>
      <c r="F65">
        <v>241</v>
      </c>
    </row>
    <row r="66" spans="1:6" x14ac:dyDescent="0.3">
      <c r="E66" s="2" t="s">
        <v>31</v>
      </c>
      <c r="F66">
        <v>272</v>
      </c>
    </row>
    <row r="67" spans="1:6" x14ac:dyDescent="0.3">
      <c r="E67" s="2" t="s">
        <v>1</v>
      </c>
      <c r="F67">
        <v>513</v>
      </c>
    </row>
    <row r="72" spans="1:6" x14ac:dyDescent="0.3">
      <c r="A72" s="1" t="s">
        <v>0</v>
      </c>
    </row>
    <row r="73" spans="1:6" x14ac:dyDescent="0.3">
      <c r="A73" s="2" t="s">
        <v>43</v>
      </c>
      <c r="C73" s="1" t="s">
        <v>0</v>
      </c>
      <c r="D73" t="s">
        <v>42</v>
      </c>
    </row>
    <row r="74" spans="1:6" x14ac:dyDescent="0.3">
      <c r="A74" s="2" t="s">
        <v>1</v>
      </c>
      <c r="C74" s="2" t="s">
        <v>34</v>
      </c>
      <c r="D74">
        <v>14</v>
      </c>
    </row>
    <row r="75" spans="1:6" x14ac:dyDescent="0.3">
      <c r="C75" s="2" t="s">
        <v>35</v>
      </c>
      <c r="D75">
        <v>4</v>
      </c>
    </row>
    <row r="76" spans="1:6" x14ac:dyDescent="0.3">
      <c r="C76" s="2" t="s">
        <v>36</v>
      </c>
      <c r="D76">
        <v>103</v>
      </c>
    </row>
    <row r="77" spans="1:6" x14ac:dyDescent="0.3">
      <c r="C77" s="2" t="s">
        <v>37</v>
      </c>
      <c r="D77">
        <v>9</v>
      </c>
    </row>
    <row r="78" spans="1:6" x14ac:dyDescent="0.3">
      <c r="C78" s="2" t="s">
        <v>38</v>
      </c>
      <c r="D78">
        <v>299</v>
      </c>
    </row>
    <row r="79" spans="1:6" x14ac:dyDescent="0.3">
      <c r="C79" s="2" t="s">
        <v>39</v>
      </c>
      <c r="D79">
        <v>65</v>
      </c>
    </row>
    <row r="80" spans="1:6" x14ac:dyDescent="0.3">
      <c r="C80" s="2" t="s">
        <v>40</v>
      </c>
      <c r="D80">
        <v>14</v>
      </c>
    </row>
    <row r="81" spans="3:4" x14ac:dyDescent="0.3">
      <c r="C81" s="2" t="s">
        <v>41</v>
      </c>
      <c r="D81">
        <v>5</v>
      </c>
    </row>
    <row r="82" spans="3:4" x14ac:dyDescent="0.3">
      <c r="C82" s="2" t="s">
        <v>1</v>
      </c>
      <c r="D82">
        <v>513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0D6E-B447-4C12-A7A2-6A1033393AE0}">
  <dimension ref="A1:M15"/>
  <sheetViews>
    <sheetView showGridLines="0" tabSelected="1" zoomScale="175" zoomScaleNormal="175" workbookViewId="0">
      <selection activeCell="J1" sqref="J1"/>
    </sheetView>
  </sheetViews>
  <sheetFormatPr defaultRowHeight="14.4" x14ac:dyDescent="0.3"/>
  <sheetData>
    <row r="1" spans="1:13" x14ac:dyDescent="0.3">
      <c r="A1" s="4"/>
      <c r="B1" s="4"/>
      <c r="C1" s="4"/>
      <c r="D1" s="4"/>
      <c r="E1" s="4"/>
      <c r="F1" s="4"/>
      <c r="G1" s="4"/>
      <c r="H1" s="4"/>
      <c r="I1" s="4"/>
      <c r="J1" s="4"/>
      <c r="K1" s="4"/>
      <c r="L1" s="4"/>
      <c r="M1" s="4"/>
    </row>
    <row r="2" spans="1:13" x14ac:dyDescent="0.3">
      <c r="A2" s="4"/>
      <c r="B2" s="4"/>
      <c r="C2" s="4"/>
      <c r="D2" s="4"/>
      <c r="E2" s="4"/>
      <c r="F2" s="4"/>
      <c r="G2" s="4"/>
      <c r="H2" s="4"/>
      <c r="I2" s="4"/>
      <c r="J2" s="4"/>
      <c r="K2" s="4"/>
      <c r="L2" s="4"/>
      <c r="M2" s="4"/>
    </row>
    <row r="3" spans="1:13" x14ac:dyDescent="0.3">
      <c r="A3" s="4"/>
      <c r="B3" s="4"/>
      <c r="C3" s="4"/>
      <c r="D3" s="4"/>
      <c r="E3" s="4"/>
      <c r="F3" s="4"/>
      <c r="G3" s="4"/>
      <c r="H3" s="4"/>
      <c r="I3" s="4"/>
      <c r="J3" s="4"/>
      <c r="K3" s="4"/>
      <c r="L3" s="4"/>
      <c r="M3" s="4"/>
    </row>
    <row r="4" spans="1:13" x14ac:dyDescent="0.3">
      <c r="A4" s="4"/>
      <c r="B4" s="4"/>
      <c r="C4" s="4"/>
      <c r="D4" s="4"/>
      <c r="E4" s="4"/>
      <c r="F4" s="4"/>
      <c r="G4" s="4"/>
      <c r="H4" s="4"/>
      <c r="I4" s="4"/>
      <c r="J4" s="4"/>
      <c r="K4" s="4"/>
      <c r="L4" s="4"/>
      <c r="M4" s="4"/>
    </row>
    <row r="5" spans="1:13" x14ac:dyDescent="0.3">
      <c r="A5" s="4"/>
      <c r="B5" s="4"/>
      <c r="C5" s="4"/>
      <c r="D5" s="4"/>
      <c r="E5" s="4"/>
      <c r="F5" s="4"/>
      <c r="G5" s="4"/>
      <c r="H5" s="4"/>
      <c r="I5" s="4"/>
      <c r="J5" s="4"/>
      <c r="K5" s="4"/>
      <c r="L5" s="4"/>
      <c r="M5" s="4"/>
    </row>
    <row r="6" spans="1:13" x14ac:dyDescent="0.3">
      <c r="A6" s="4"/>
      <c r="B6" s="4"/>
      <c r="C6" s="4"/>
      <c r="D6" s="4"/>
      <c r="E6" s="4"/>
      <c r="F6" s="4"/>
      <c r="G6" s="4"/>
      <c r="H6" s="4"/>
      <c r="I6" s="4"/>
      <c r="J6" s="4"/>
      <c r="K6" s="4"/>
      <c r="L6" s="4"/>
      <c r="M6" s="4"/>
    </row>
    <row r="7" spans="1:13" x14ac:dyDescent="0.3">
      <c r="A7" s="4"/>
      <c r="B7" s="4"/>
      <c r="C7" s="4"/>
      <c r="D7" s="4"/>
      <c r="E7" s="4"/>
      <c r="F7" s="4"/>
      <c r="G7" s="4"/>
      <c r="H7" s="4"/>
      <c r="I7" s="4"/>
      <c r="J7" s="4"/>
      <c r="K7" s="4"/>
      <c r="L7" s="4"/>
      <c r="M7" s="4"/>
    </row>
    <row r="8" spans="1:13" x14ac:dyDescent="0.3">
      <c r="A8" s="4"/>
      <c r="B8" s="4"/>
      <c r="C8" s="4"/>
      <c r="D8" s="4"/>
      <c r="E8" s="4"/>
      <c r="F8" s="4"/>
      <c r="G8" s="4"/>
      <c r="H8" s="4"/>
      <c r="I8" s="4"/>
      <c r="J8" s="4"/>
      <c r="K8" s="4"/>
      <c r="L8" s="4"/>
      <c r="M8" s="4"/>
    </row>
    <row r="9" spans="1:13" x14ac:dyDescent="0.3">
      <c r="A9" s="4"/>
      <c r="B9" s="4"/>
      <c r="C9" s="4"/>
      <c r="D9" s="4"/>
      <c r="E9" s="4"/>
      <c r="F9" s="4"/>
      <c r="G9" s="4"/>
      <c r="H9" s="4"/>
      <c r="I9" s="4"/>
      <c r="J9" s="4"/>
      <c r="K9" s="4"/>
      <c r="L9" s="4"/>
      <c r="M9" s="4"/>
    </row>
    <row r="10" spans="1:13" x14ac:dyDescent="0.3">
      <c r="A10" s="4"/>
      <c r="B10" s="4"/>
      <c r="C10" s="4"/>
      <c r="D10" s="4"/>
      <c r="E10" s="4"/>
      <c r="F10" s="4"/>
      <c r="G10" s="4"/>
      <c r="H10" s="4"/>
      <c r="I10" s="4"/>
      <c r="J10" s="4"/>
      <c r="K10" s="4"/>
      <c r="L10" s="4"/>
      <c r="M10" s="4"/>
    </row>
    <row r="11" spans="1:13" x14ac:dyDescent="0.3">
      <c r="A11" s="4"/>
      <c r="B11" s="4"/>
      <c r="C11" s="4"/>
      <c r="D11" s="4"/>
      <c r="E11" s="4"/>
      <c r="F11" s="4"/>
      <c r="G11" s="4"/>
      <c r="H11" s="4"/>
      <c r="I11" s="4"/>
      <c r="J11" s="4"/>
      <c r="K11" s="4"/>
      <c r="L11" s="4"/>
      <c r="M11" s="4"/>
    </row>
    <row r="12" spans="1:13" x14ac:dyDescent="0.3">
      <c r="A12" s="4"/>
      <c r="B12" s="4"/>
      <c r="C12" s="4"/>
      <c r="D12" s="4"/>
      <c r="E12" s="4"/>
      <c r="F12" s="4"/>
      <c r="G12" s="4"/>
      <c r="H12" s="4"/>
      <c r="I12" s="4"/>
      <c r="J12" s="4"/>
      <c r="K12" s="4"/>
      <c r="L12" s="4"/>
      <c r="M12" s="4"/>
    </row>
    <row r="13" spans="1:13" x14ac:dyDescent="0.3">
      <c r="A13" s="4"/>
      <c r="B13" s="4"/>
      <c r="C13" s="4"/>
      <c r="D13" s="4"/>
      <c r="E13" s="4"/>
      <c r="F13" s="4"/>
      <c r="G13" s="4"/>
      <c r="H13" s="4"/>
      <c r="I13" s="4"/>
      <c r="J13" s="4"/>
      <c r="K13" s="4"/>
      <c r="L13" s="4"/>
      <c r="M13" s="4"/>
    </row>
    <row r="14" spans="1:13" x14ac:dyDescent="0.3">
      <c r="A14" s="4"/>
      <c r="B14" s="4"/>
      <c r="C14" s="4"/>
      <c r="D14" s="4"/>
      <c r="E14" s="4"/>
      <c r="F14" s="4"/>
      <c r="G14" s="4"/>
      <c r="H14" s="4"/>
      <c r="I14" s="4"/>
      <c r="J14" s="4"/>
      <c r="K14" s="4"/>
      <c r="L14" s="4"/>
      <c r="M14" s="4"/>
    </row>
    <row r="15" spans="1:13" x14ac:dyDescent="0.3">
      <c r="A15" s="4"/>
      <c r="B15" s="4"/>
      <c r="C15" s="4"/>
      <c r="D15" s="4"/>
      <c r="E15" s="4"/>
      <c r="F15" s="4"/>
      <c r="G15" s="4"/>
      <c r="H15" s="4"/>
      <c r="I15" s="4"/>
      <c r="J15" s="4"/>
      <c r="K15" s="4"/>
      <c r="L15" s="4"/>
      <c r="M15"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48320-A408-48D5-BDA6-5EC67F73D8B7}">
  <dimension ref="C4"/>
  <sheetViews>
    <sheetView workbookViewId="0"/>
  </sheetViews>
  <sheetFormatPr defaultRowHeight="14.4" x14ac:dyDescent="0.3"/>
  <sheetData>
    <row r="4" spans="3:3" x14ac:dyDescent="0.3">
      <c r="C4"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954C8-96A1-46CF-8F2C-326D26B3F4FA}">
  <dimension ref="A1:N23"/>
  <sheetViews>
    <sheetView workbookViewId="0"/>
  </sheetViews>
  <sheetFormatPr defaultRowHeight="14.4" x14ac:dyDescent="0.3"/>
  <sheetData>
    <row r="1" spans="1:14" x14ac:dyDescent="0.3">
      <c r="A1" s="8"/>
      <c r="B1" s="8"/>
      <c r="C1" s="8"/>
      <c r="D1" s="8"/>
      <c r="E1" s="8"/>
      <c r="F1" s="8"/>
      <c r="G1" s="8"/>
      <c r="H1" s="8"/>
      <c r="I1" s="8"/>
      <c r="J1" s="8"/>
      <c r="K1" s="8"/>
      <c r="L1" s="9"/>
      <c r="M1" s="10"/>
      <c r="N1" s="6"/>
    </row>
    <row r="2" spans="1:14" x14ac:dyDescent="0.3">
      <c r="A2" s="8"/>
      <c r="B2" s="8"/>
      <c r="C2" s="8"/>
      <c r="D2" s="8"/>
      <c r="E2" s="8"/>
      <c r="F2" s="8"/>
      <c r="G2" s="8"/>
      <c r="H2" s="8"/>
      <c r="I2" s="8"/>
      <c r="J2" s="8"/>
      <c r="K2" s="8"/>
      <c r="L2" s="9"/>
      <c r="M2" s="10"/>
      <c r="N2" s="6"/>
    </row>
    <row r="3" spans="1:14" x14ac:dyDescent="0.3">
      <c r="A3" s="8"/>
      <c r="B3" s="8"/>
      <c r="C3" s="8"/>
      <c r="D3" s="8"/>
      <c r="E3" s="8"/>
      <c r="F3" s="8"/>
      <c r="G3" s="8"/>
      <c r="H3" s="8"/>
      <c r="I3" s="8"/>
      <c r="J3" s="8"/>
      <c r="K3" s="8"/>
      <c r="L3" s="9"/>
      <c r="M3" s="10"/>
      <c r="N3" s="6"/>
    </row>
    <row r="4" spans="1:14" x14ac:dyDescent="0.3">
      <c r="A4" s="8"/>
      <c r="B4" s="8"/>
      <c r="C4" s="8"/>
      <c r="D4" s="8"/>
      <c r="E4" s="8"/>
      <c r="F4" s="8"/>
      <c r="G4" s="8"/>
      <c r="H4" s="8"/>
      <c r="I4" s="8"/>
      <c r="J4" s="8"/>
      <c r="K4" s="8"/>
      <c r="L4" s="9"/>
      <c r="M4" s="10"/>
      <c r="N4" s="6"/>
    </row>
    <row r="5" spans="1:14" x14ac:dyDescent="0.3">
      <c r="A5" s="8"/>
      <c r="B5" s="8"/>
      <c r="C5" s="8"/>
      <c r="D5" s="8"/>
      <c r="E5" s="8"/>
      <c r="F5" s="8"/>
      <c r="G5" s="8"/>
      <c r="H5" s="8"/>
      <c r="I5" s="8"/>
      <c r="J5" s="8"/>
      <c r="K5" s="8"/>
      <c r="L5" s="9"/>
      <c r="M5" s="10"/>
      <c r="N5" s="6"/>
    </row>
    <row r="6" spans="1:14" x14ac:dyDescent="0.3">
      <c r="A6" s="8"/>
      <c r="B6" s="8"/>
      <c r="C6" s="8"/>
      <c r="D6" s="8"/>
      <c r="E6" s="8"/>
      <c r="F6" s="8"/>
      <c r="G6" s="8"/>
      <c r="H6" s="8"/>
      <c r="I6" s="8"/>
      <c r="J6" s="8"/>
      <c r="K6" s="8"/>
      <c r="L6" s="9"/>
      <c r="M6" s="10"/>
      <c r="N6" s="6"/>
    </row>
    <row r="7" spans="1:14" x14ac:dyDescent="0.3">
      <c r="A7" s="8"/>
      <c r="B7" s="8"/>
      <c r="C7" s="8"/>
      <c r="D7" s="8"/>
      <c r="E7" s="8"/>
      <c r="F7" s="8"/>
      <c r="G7" s="8"/>
      <c r="H7" s="8"/>
      <c r="I7" s="8"/>
      <c r="J7" s="8"/>
      <c r="K7" s="8"/>
      <c r="L7" s="9"/>
      <c r="M7" s="10"/>
      <c r="N7" s="6"/>
    </row>
    <row r="8" spans="1:14" x14ac:dyDescent="0.3">
      <c r="A8" s="8"/>
      <c r="B8" s="8"/>
      <c r="C8" s="8"/>
      <c r="D8" s="8"/>
      <c r="E8" s="8"/>
      <c r="F8" s="8"/>
      <c r="G8" s="8"/>
      <c r="H8" s="8"/>
      <c r="I8" s="8"/>
      <c r="J8" s="8"/>
      <c r="K8" s="8"/>
      <c r="L8" s="9"/>
      <c r="M8" s="10"/>
      <c r="N8" s="6"/>
    </row>
    <row r="9" spans="1:14" x14ac:dyDescent="0.3">
      <c r="A9" s="8"/>
      <c r="B9" s="8"/>
      <c r="C9" s="8"/>
      <c r="D9" s="8"/>
      <c r="E9" s="8"/>
      <c r="F9" s="8"/>
      <c r="G9" s="8"/>
      <c r="H9" s="8"/>
      <c r="I9" s="8"/>
      <c r="J9" s="8"/>
      <c r="K9" s="8"/>
      <c r="L9" s="9"/>
      <c r="M9" s="10"/>
      <c r="N9" s="6"/>
    </row>
    <row r="10" spans="1:14" x14ac:dyDescent="0.3">
      <c r="A10" s="8"/>
      <c r="B10" s="8"/>
      <c r="C10" s="8"/>
      <c r="D10" s="8"/>
      <c r="E10" s="8"/>
      <c r="F10" s="8"/>
      <c r="G10" s="8"/>
      <c r="H10" s="8"/>
      <c r="I10" s="8"/>
      <c r="J10" s="8"/>
      <c r="K10" s="8"/>
      <c r="L10" s="9"/>
      <c r="M10" s="10"/>
      <c r="N10" s="6"/>
    </row>
    <row r="11" spans="1:14" x14ac:dyDescent="0.3">
      <c r="A11" s="8"/>
      <c r="B11" s="8"/>
      <c r="C11" s="8"/>
      <c r="D11" s="8"/>
      <c r="E11" s="8"/>
      <c r="F11" s="8"/>
      <c r="G11" s="8"/>
      <c r="H11" s="8"/>
      <c r="I11" s="8"/>
      <c r="J11" s="8"/>
      <c r="K11" s="8"/>
      <c r="L11" s="9"/>
      <c r="M11" s="10"/>
      <c r="N11" s="6"/>
    </row>
    <row r="12" spans="1:14" x14ac:dyDescent="0.3">
      <c r="A12" s="8"/>
      <c r="B12" s="8"/>
      <c r="C12" s="8"/>
      <c r="D12" s="8"/>
      <c r="E12" s="8"/>
      <c r="F12" s="8"/>
      <c r="G12" s="8"/>
      <c r="H12" s="8"/>
      <c r="I12" s="8"/>
      <c r="J12" s="8"/>
      <c r="K12" s="8"/>
      <c r="L12" s="9"/>
      <c r="M12" s="10"/>
      <c r="N12" s="6"/>
    </row>
    <row r="13" spans="1:14" x14ac:dyDescent="0.3">
      <c r="A13" s="8"/>
      <c r="B13" s="8"/>
      <c r="C13" s="8"/>
      <c r="D13" s="8"/>
      <c r="E13" s="8"/>
      <c r="F13" s="8"/>
      <c r="G13" s="8"/>
      <c r="H13" s="8"/>
      <c r="I13" s="8"/>
      <c r="J13" s="8"/>
      <c r="K13" s="8"/>
      <c r="L13" s="9"/>
      <c r="M13" s="10"/>
      <c r="N13" s="6"/>
    </row>
    <row r="14" spans="1:14" x14ac:dyDescent="0.3">
      <c r="A14" s="8"/>
      <c r="B14" s="8"/>
      <c r="C14" s="8"/>
      <c r="D14" s="8"/>
      <c r="E14" s="8"/>
      <c r="F14" s="8"/>
      <c r="G14" s="8"/>
      <c r="H14" s="8"/>
      <c r="I14" s="8"/>
      <c r="J14" s="8"/>
      <c r="K14" s="8"/>
      <c r="L14" s="9"/>
      <c r="M14" s="10"/>
      <c r="N14" s="6"/>
    </row>
    <row r="15" spans="1:14" x14ac:dyDescent="0.3">
      <c r="A15" s="8"/>
      <c r="B15" s="8"/>
      <c r="C15" s="8"/>
      <c r="D15" s="8"/>
      <c r="E15" s="8"/>
      <c r="F15" s="8"/>
      <c r="G15" s="8"/>
      <c r="H15" s="8"/>
      <c r="I15" s="8"/>
      <c r="J15" s="8"/>
      <c r="K15" s="8"/>
      <c r="L15" s="9"/>
      <c r="M15" s="10"/>
      <c r="N15" s="6"/>
    </row>
    <row r="16" spans="1:14" x14ac:dyDescent="0.3">
      <c r="A16" s="8"/>
      <c r="B16" s="8"/>
      <c r="C16" s="8"/>
      <c r="D16" s="8"/>
      <c r="E16" s="8"/>
      <c r="F16" s="8"/>
      <c r="G16" s="8"/>
      <c r="H16" s="8"/>
      <c r="I16" s="8"/>
      <c r="J16" s="8"/>
      <c r="K16" s="8"/>
      <c r="L16" s="9"/>
      <c r="M16" s="10"/>
      <c r="N16" s="6"/>
    </row>
    <row r="17" spans="1:14" x14ac:dyDescent="0.3">
      <c r="A17" s="8"/>
      <c r="B17" s="8"/>
      <c r="C17" s="8"/>
      <c r="D17" s="8"/>
      <c r="E17" s="8"/>
      <c r="F17" s="8"/>
      <c r="G17" s="8"/>
      <c r="H17" s="8"/>
      <c r="I17" s="8"/>
      <c r="J17" s="8"/>
      <c r="K17" s="8"/>
      <c r="L17" s="9"/>
      <c r="M17" s="10"/>
      <c r="N17" s="6"/>
    </row>
    <row r="18" spans="1:14" x14ac:dyDescent="0.3">
      <c r="A18" s="8"/>
      <c r="B18" s="8"/>
      <c r="C18" s="8"/>
      <c r="D18" s="8"/>
      <c r="E18" s="8"/>
      <c r="F18" s="8"/>
      <c r="G18" s="8"/>
      <c r="H18" s="8"/>
      <c r="I18" s="8"/>
      <c r="J18" s="8"/>
      <c r="K18" s="8"/>
      <c r="L18" s="9"/>
      <c r="M18" s="10"/>
      <c r="N18" s="6"/>
    </row>
    <row r="19" spans="1:14" x14ac:dyDescent="0.3">
      <c r="A19" s="8"/>
      <c r="B19" s="8"/>
      <c r="C19" s="8"/>
      <c r="D19" s="8"/>
      <c r="E19" s="8"/>
      <c r="F19" s="8"/>
      <c r="G19" s="8"/>
      <c r="H19" s="8"/>
      <c r="I19" s="8"/>
      <c r="J19" s="8"/>
      <c r="K19" s="8"/>
      <c r="L19" s="9"/>
      <c r="M19" s="10"/>
      <c r="N19" s="6"/>
    </row>
    <row r="20" spans="1:14" x14ac:dyDescent="0.3">
      <c r="A20" s="8"/>
      <c r="B20" s="8"/>
      <c r="C20" s="8"/>
      <c r="D20" s="8"/>
      <c r="E20" s="8"/>
      <c r="F20" s="8"/>
      <c r="G20" s="8"/>
      <c r="H20" s="8"/>
      <c r="I20" s="8"/>
      <c r="J20" s="8"/>
      <c r="K20" s="8"/>
      <c r="L20" s="9"/>
      <c r="M20" s="10"/>
      <c r="N20" s="6"/>
    </row>
    <row r="21" spans="1:14" x14ac:dyDescent="0.3">
      <c r="A21" s="9"/>
      <c r="B21" s="9"/>
      <c r="C21" s="9"/>
      <c r="D21" s="9"/>
      <c r="E21" s="9"/>
      <c r="F21" s="9"/>
      <c r="G21" s="9"/>
      <c r="H21" s="9"/>
      <c r="I21" s="9"/>
      <c r="J21" s="9"/>
      <c r="K21" s="9"/>
      <c r="L21" s="9"/>
      <c r="M21" s="10"/>
      <c r="N21" s="6"/>
    </row>
    <row r="22" spans="1:14" x14ac:dyDescent="0.3">
      <c r="A22" s="7"/>
      <c r="B22" s="7"/>
      <c r="C22" s="7"/>
      <c r="D22" s="7"/>
      <c r="E22" s="7"/>
      <c r="F22" s="7"/>
      <c r="G22" s="7"/>
      <c r="H22" s="7"/>
      <c r="I22" s="7"/>
      <c r="J22" s="7"/>
      <c r="K22" s="7"/>
      <c r="L22" s="7"/>
      <c r="M22" s="6"/>
      <c r="N22" s="6"/>
    </row>
    <row r="23" spans="1:14" x14ac:dyDescent="0.3">
      <c r="A23" s="6"/>
      <c r="B23" s="6"/>
      <c r="C23" s="6"/>
      <c r="D23" s="6"/>
      <c r="E23" s="6"/>
      <c r="F23" s="6"/>
      <c r="G23" s="6"/>
      <c r="H23" s="6"/>
      <c r="I23" s="6"/>
      <c r="J23" s="6"/>
      <c r="K23" s="6"/>
      <c r="L23" s="6"/>
      <c r="M23" s="6"/>
      <c r="N23"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AEAEB-AF48-48C7-B758-4AB94365AA15}">
  <dimension ref="A1:N23"/>
  <sheetViews>
    <sheetView workbookViewId="0"/>
  </sheetViews>
  <sheetFormatPr defaultRowHeight="14.4" x14ac:dyDescent="0.3"/>
  <sheetData>
    <row r="1" spans="1:14" x14ac:dyDescent="0.3">
      <c r="A1" s="8"/>
      <c r="B1" s="8"/>
      <c r="C1" s="8"/>
      <c r="D1" s="8"/>
      <c r="E1" s="8"/>
      <c r="F1" s="8"/>
      <c r="G1" s="8"/>
      <c r="H1" s="8"/>
      <c r="I1" s="8"/>
      <c r="J1" s="8"/>
      <c r="K1" s="8"/>
      <c r="L1" s="9"/>
      <c r="M1" s="10"/>
      <c r="N1" s="6"/>
    </row>
    <row r="2" spans="1:14" x14ac:dyDescent="0.3">
      <c r="A2" s="8"/>
      <c r="B2" s="8"/>
      <c r="C2" s="8"/>
      <c r="D2" s="8"/>
      <c r="E2" s="8"/>
      <c r="F2" s="8"/>
      <c r="G2" s="8"/>
      <c r="H2" s="8"/>
      <c r="I2" s="8"/>
      <c r="J2" s="8"/>
      <c r="K2" s="8"/>
      <c r="L2" s="9"/>
      <c r="M2" s="10"/>
      <c r="N2" s="6"/>
    </row>
    <row r="3" spans="1:14" x14ac:dyDescent="0.3">
      <c r="A3" s="8"/>
      <c r="B3" s="8"/>
      <c r="C3" s="8"/>
      <c r="D3" s="8"/>
      <c r="E3" s="8"/>
      <c r="F3" s="8"/>
      <c r="G3" s="8"/>
      <c r="H3" s="8"/>
      <c r="I3" s="8"/>
      <c r="J3" s="8"/>
      <c r="K3" s="8"/>
      <c r="L3" s="9"/>
      <c r="M3" s="10"/>
      <c r="N3" s="6"/>
    </row>
    <row r="4" spans="1:14" x14ac:dyDescent="0.3">
      <c r="A4" s="8"/>
      <c r="B4" s="8"/>
      <c r="C4" s="8"/>
      <c r="D4" s="8"/>
      <c r="E4" s="8"/>
      <c r="F4" s="8"/>
      <c r="G4" s="8"/>
      <c r="H4" s="8"/>
      <c r="I4" s="8"/>
      <c r="J4" s="8"/>
      <c r="K4" s="8"/>
      <c r="L4" s="9"/>
      <c r="M4" s="10"/>
      <c r="N4" s="6"/>
    </row>
    <row r="5" spans="1:14" x14ac:dyDescent="0.3">
      <c r="A5" s="8"/>
      <c r="B5" s="8"/>
      <c r="C5" s="8"/>
      <c r="D5" s="8"/>
      <c r="E5" s="8"/>
      <c r="F5" s="8"/>
      <c r="G5" s="8"/>
      <c r="H5" s="8"/>
      <c r="I5" s="8"/>
      <c r="J5" s="8"/>
      <c r="K5" s="8"/>
      <c r="L5" s="9"/>
      <c r="M5" s="10"/>
      <c r="N5" s="6"/>
    </row>
    <row r="6" spans="1:14" x14ac:dyDescent="0.3">
      <c r="A6" s="8"/>
      <c r="B6" s="8"/>
      <c r="C6" s="8"/>
      <c r="D6" s="8"/>
      <c r="E6" s="8"/>
      <c r="F6" s="8"/>
      <c r="G6" s="8"/>
      <c r="H6" s="8"/>
      <c r="I6" s="8"/>
      <c r="J6" s="8"/>
      <c r="K6" s="8"/>
      <c r="L6" s="9"/>
      <c r="M6" s="10"/>
      <c r="N6" s="6"/>
    </row>
    <row r="7" spans="1:14" x14ac:dyDescent="0.3">
      <c r="A7" s="8"/>
      <c r="B7" s="8"/>
      <c r="C7" s="8"/>
      <c r="D7" s="8"/>
      <c r="E7" s="8"/>
      <c r="F7" s="8"/>
      <c r="G7" s="8"/>
      <c r="H7" s="8"/>
      <c r="I7" s="8"/>
      <c r="J7" s="8"/>
      <c r="K7" s="8"/>
      <c r="L7" s="9"/>
      <c r="M7" s="10"/>
      <c r="N7" s="6"/>
    </row>
    <row r="8" spans="1:14" x14ac:dyDescent="0.3">
      <c r="A8" s="8"/>
      <c r="B8" s="8"/>
      <c r="C8" s="8"/>
      <c r="D8" s="8"/>
      <c r="E8" s="8"/>
      <c r="F8" s="8"/>
      <c r="G8" s="8"/>
      <c r="H8" s="8"/>
      <c r="I8" s="8"/>
      <c r="J8" s="8"/>
      <c r="K8" s="8"/>
      <c r="L8" s="9"/>
      <c r="M8" s="10"/>
      <c r="N8" s="6"/>
    </row>
    <row r="9" spans="1:14" x14ac:dyDescent="0.3">
      <c r="A9" s="8"/>
      <c r="B9" s="8"/>
      <c r="C9" s="8"/>
      <c r="D9" s="8"/>
      <c r="E9" s="8"/>
      <c r="F9" s="8"/>
      <c r="G9" s="8"/>
      <c r="H9" s="8"/>
      <c r="I9" s="8"/>
      <c r="J9" s="8"/>
      <c r="K9" s="8"/>
      <c r="L9" s="9"/>
      <c r="M9" s="10"/>
      <c r="N9" s="6"/>
    </row>
    <row r="10" spans="1:14" x14ac:dyDescent="0.3">
      <c r="A10" s="8"/>
      <c r="B10" s="8"/>
      <c r="C10" s="8"/>
      <c r="D10" s="8"/>
      <c r="E10" s="8"/>
      <c r="F10" s="8"/>
      <c r="G10" s="8"/>
      <c r="H10" s="8"/>
      <c r="I10" s="8"/>
      <c r="J10" s="8"/>
      <c r="K10" s="8"/>
      <c r="L10" s="9"/>
      <c r="M10" s="10"/>
      <c r="N10" s="6"/>
    </row>
    <row r="11" spans="1:14" x14ac:dyDescent="0.3">
      <c r="A11" s="8"/>
      <c r="B11" s="8"/>
      <c r="C11" s="8"/>
      <c r="D11" s="8"/>
      <c r="E11" s="8"/>
      <c r="F11" s="8"/>
      <c r="G11" s="8"/>
      <c r="H11" s="8"/>
      <c r="I11" s="8"/>
      <c r="J11" s="8"/>
      <c r="K11" s="8"/>
      <c r="L11" s="9"/>
      <c r="M11" s="10"/>
      <c r="N11" s="6"/>
    </row>
    <row r="12" spans="1:14" x14ac:dyDescent="0.3">
      <c r="A12" s="8"/>
      <c r="B12" s="8"/>
      <c r="C12" s="8"/>
      <c r="D12" s="8"/>
      <c r="E12" s="8"/>
      <c r="F12" s="8"/>
      <c r="G12" s="8"/>
      <c r="H12" s="8"/>
      <c r="I12" s="8"/>
      <c r="J12" s="8"/>
      <c r="K12" s="8"/>
      <c r="L12" s="9"/>
      <c r="M12" s="10"/>
      <c r="N12" s="6"/>
    </row>
    <row r="13" spans="1:14" x14ac:dyDescent="0.3">
      <c r="A13" s="8"/>
      <c r="B13" s="8"/>
      <c r="C13" s="8"/>
      <c r="D13" s="8"/>
      <c r="E13" s="8"/>
      <c r="F13" s="8"/>
      <c r="G13" s="8"/>
      <c r="H13" s="8"/>
      <c r="I13" s="8"/>
      <c r="J13" s="8"/>
      <c r="K13" s="8"/>
      <c r="L13" s="9"/>
      <c r="M13" s="10"/>
      <c r="N13" s="6"/>
    </row>
    <row r="14" spans="1:14" x14ac:dyDescent="0.3">
      <c r="A14" s="8"/>
      <c r="B14" s="8"/>
      <c r="C14" s="8"/>
      <c r="D14" s="8"/>
      <c r="E14" s="8"/>
      <c r="F14" s="8"/>
      <c r="G14" s="8"/>
      <c r="H14" s="8"/>
      <c r="I14" s="8"/>
      <c r="J14" s="8"/>
      <c r="K14" s="8"/>
      <c r="L14" s="9"/>
      <c r="M14" s="10"/>
      <c r="N14" s="6"/>
    </row>
    <row r="15" spans="1:14" x14ac:dyDescent="0.3">
      <c r="A15" s="8"/>
      <c r="B15" s="8"/>
      <c r="C15" s="8"/>
      <c r="D15" s="8"/>
      <c r="E15" s="8"/>
      <c r="F15" s="8"/>
      <c r="G15" s="8"/>
      <c r="H15" s="8"/>
      <c r="I15" s="8"/>
      <c r="J15" s="8"/>
      <c r="K15" s="8"/>
      <c r="L15" s="9"/>
      <c r="M15" s="10"/>
      <c r="N15" s="6"/>
    </row>
    <row r="16" spans="1:14" x14ac:dyDescent="0.3">
      <c r="A16" s="8"/>
      <c r="B16" s="8"/>
      <c r="C16" s="8"/>
      <c r="D16" s="8"/>
      <c r="E16" s="8"/>
      <c r="F16" s="8"/>
      <c r="G16" s="8"/>
      <c r="H16" s="8"/>
      <c r="I16" s="8"/>
      <c r="J16" s="8"/>
      <c r="K16" s="8"/>
      <c r="L16" s="9"/>
      <c r="M16" s="10"/>
      <c r="N16" s="6"/>
    </row>
    <row r="17" spans="1:14" x14ac:dyDescent="0.3">
      <c r="A17" s="8"/>
      <c r="B17" s="8"/>
      <c r="C17" s="8"/>
      <c r="D17" s="8"/>
      <c r="E17" s="8"/>
      <c r="F17" s="8"/>
      <c r="G17" s="8"/>
      <c r="H17" s="8"/>
      <c r="I17" s="8"/>
      <c r="J17" s="8"/>
      <c r="K17" s="8"/>
      <c r="L17" s="9"/>
      <c r="M17" s="10"/>
      <c r="N17" s="6"/>
    </row>
    <row r="18" spans="1:14" x14ac:dyDescent="0.3">
      <c r="A18" s="8"/>
      <c r="B18" s="8"/>
      <c r="C18" s="8"/>
      <c r="D18" s="8"/>
      <c r="E18" s="8"/>
      <c r="F18" s="8"/>
      <c r="G18" s="8"/>
      <c r="H18" s="8"/>
      <c r="I18" s="8"/>
      <c r="J18" s="8"/>
      <c r="K18" s="8"/>
      <c r="L18" s="9"/>
      <c r="M18" s="10"/>
      <c r="N18" s="6"/>
    </row>
    <row r="19" spans="1:14" x14ac:dyDescent="0.3">
      <c r="A19" s="8"/>
      <c r="B19" s="8"/>
      <c r="C19" s="8"/>
      <c r="D19" s="8"/>
      <c r="E19" s="8"/>
      <c r="F19" s="8"/>
      <c r="G19" s="8"/>
      <c r="H19" s="8"/>
      <c r="I19" s="8"/>
      <c r="J19" s="8"/>
      <c r="K19" s="8"/>
      <c r="L19" s="9"/>
      <c r="M19" s="10"/>
      <c r="N19" s="6"/>
    </row>
    <row r="20" spans="1:14" x14ac:dyDescent="0.3">
      <c r="A20" s="8"/>
      <c r="B20" s="8"/>
      <c r="C20" s="8"/>
      <c r="D20" s="8"/>
      <c r="E20" s="8"/>
      <c r="F20" s="8"/>
      <c r="G20" s="8"/>
      <c r="H20" s="8"/>
      <c r="I20" s="8"/>
      <c r="J20" s="8"/>
      <c r="K20" s="8"/>
      <c r="L20" s="9"/>
      <c r="M20" s="10"/>
      <c r="N20" s="6"/>
    </row>
    <row r="21" spans="1:14" x14ac:dyDescent="0.3">
      <c r="A21" s="9"/>
      <c r="B21" s="9"/>
      <c r="C21" s="9"/>
      <c r="D21" s="9"/>
      <c r="E21" s="9"/>
      <c r="F21" s="9"/>
      <c r="G21" s="9"/>
      <c r="H21" s="9"/>
      <c r="I21" s="9"/>
      <c r="J21" s="9"/>
      <c r="K21" s="9"/>
      <c r="L21" s="9"/>
      <c r="M21" s="10"/>
      <c r="N21" s="6"/>
    </row>
    <row r="22" spans="1:14" x14ac:dyDescent="0.3">
      <c r="A22" s="7"/>
      <c r="B22" s="7"/>
      <c r="C22" s="7"/>
      <c r="D22" s="7"/>
      <c r="E22" s="7"/>
      <c r="F22" s="7"/>
      <c r="G22" s="7"/>
      <c r="H22" s="7"/>
      <c r="I22" s="7"/>
      <c r="J22" s="7"/>
      <c r="K22" s="7"/>
      <c r="L22" s="7"/>
      <c r="M22" s="6"/>
      <c r="N22" s="6"/>
    </row>
    <row r="23" spans="1:14" x14ac:dyDescent="0.3">
      <c r="A23" s="6"/>
      <c r="B23" s="6"/>
      <c r="C23" s="6"/>
      <c r="D23" s="6"/>
      <c r="E23" s="6"/>
      <c r="F23" s="6"/>
      <c r="G23" s="6"/>
      <c r="H23" s="6"/>
      <c r="I23" s="6"/>
      <c r="J23" s="6"/>
      <c r="K23" s="6"/>
      <c r="L23" s="6"/>
      <c r="M23" s="6"/>
      <c r="N23"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F0D80F1-689E-4D89-8BAF-50E1DB930CD0}">
  <ds:schemaRefs/>
</ds:datastoreItem>
</file>

<file path=customXml/itemProps2.xml><?xml version="1.0" encoding="utf-8"?>
<ds:datastoreItem xmlns:ds="http://schemas.openxmlformats.org/officeDocument/2006/customXml" ds:itemID="{179A07BA-B891-41B6-AFEC-2BA8806AB6CD}">
  <ds:schemaRefs/>
</ds:datastoreItem>
</file>

<file path=customXml/itemProps3.xml><?xml version="1.0" encoding="utf-8"?>
<ds:datastoreItem xmlns:ds="http://schemas.openxmlformats.org/officeDocument/2006/customXml" ds:itemID="{A47E75D0-6C24-4DEC-81DE-29349CA8F804}">
  <ds:schemaRefs/>
</ds:datastoreItem>
</file>

<file path=customXml/itemProps4.xml><?xml version="1.0" encoding="utf-8"?>
<ds:datastoreItem xmlns:ds="http://schemas.openxmlformats.org/officeDocument/2006/customXml" ds:itemID="{383599FD-9F53-47BD-A0E0-8FF58F0790CA}">
  <ds:schemaRefs/>
</ds:datastoreItem>
</file>

<file path=customXml/itemProps5.xml><?xml version="1.0" encoding="utf-8"?>
<ds:datastoreItem xmlns:ds="http://schemas.openxmlformats.org/officeDocument/2006/customXml" ds:itemID="{C4594954-AE53-4A40-BCC1-12AF5EF48C3E}">
  <ds:schemaRefs/>
</ds:datastoreItem>
</file>

<file path=customXml/itemProps6.xml><?xml version="1.0" encoding="utf-8"?>
<ds:datastoreItem xmlns:ds="http://schemas.openxmlformats.org/officeDocument/2006/customXml" ds:itemID="{5D107B77-B620-4024-85F4-0B0814F39F2C}">
  <ds:schemaRefs/>
</ds:datastoreItem>
</file>

<file path=customXml/itemProps7.xml><?xml version="1.0" encoding="utf-8"?>
<ds:datastoreItem xmlns:ds="http://schemas.openxmlformats.org/officeDocument/2006/customXml" ds:itemID="{BE4E42F9-B515-464E-84B8-C1CB6A3C6735}">
  <ds:schemaRefs/>
</ds:datastoreItem>
</file>

<file path=customXml/itemProps8.xml><?xml version="1.0" encoding="utf-8"?>
<ds:datastoreItem xmlns:ds="http://schemas.openxmlformats.org/officeDocument/2006/customXml" ds:itemID="{49439240-58F2-491E-A979-CEDFE6EDA8BA}">
  <ds:schemaRefs/>
</ds:datastoreItem>
</file>

<file path=customXml/itemProps9.xml><?xml version="1.0" encoding="utf-8"?>
<ds:datastoreItem xmlns:ds="http://schemas.openxmlformats.org/officeDocument/2006/customXml" ds:itemID="{F6DD64DE-D290-48C1-B09E-64427C8A1D75}">
  <ds:schemaRefs/>
</ds:datastoreItem>
</file>

<file path=customXml/itemProps10.xml><?xml version="1.0" encoding="utf-8"?>
<ds:datastoreItem xmlns:ds="http://schemas.openxmlformats.org/officeDocument/2006/customXml" ds:itemID="{D35FFDDD-97F0-4224-ABBF-3EBA8E9DE41F}">
  <ds:schemaRefs/>
</ds:datastoreItem>
</file>

<file path=customXml/itemProps11.xml><?xml version="1.0" encoding="utf-8"?>
<ds:datastoreItem xmlns:ds="http://schemas.openxmlformats.org/officeDocument/2006/customXml" ds:itemID="{5797188E-5485-4752-9D34-18400025D8BD}">
  <ds:schemaRefs/>
</ds:datastoreItem>
</file>

<file path=customXml/itemProps12.xml><?xml version="1.0" encoding="utf-8"?>
<ds:datastoreItem xmlns:ds="http://schemas.openxmlformats.org/officeDocument/2006/customXml" ds:itemID="{DD5571F5-D632-45D1-9751-89D7F53259E1}">
  <ds:schemaRefs/>
</ds:datastoreItem>
</file>

<file path=customXml/itemProps13.xml><?xml version="1.0" encoding="utf-8"?>
<ds:datastoreItem xmlns:ds="http://schemas.openxmlformats.org/officeDocument/2006/customXml" ds:itemID="{C029A058-72C5-4D4E-9C63-6E51EC7B21CC}">
  <ds:schemaRefs/>
</ds:datastoreItem>
</file>

<file path=customXml/itemProps14.xml><?xml version="1.0" encoding="utf-8"?>
<ds:datastoreItem xmlns:ds="http://schemas.openxmlformats.org/officeDocument/2006/customXml" ds:itemID="{9645874A-C7C8-47BD-A7A1-4979733BF3B0}">
  <ds:schemaRefs/>
</ds:datastoreItem>
</file>

<file path=customXml/itemProps15.xml><?xml version="1.0" encoding="utf-8"?>
<ds:datastoreItem xmlns:ds="http://schemas.openxmlformats.org/officeDocument/2006/customXml" ds:itemID="{B7B6120B-2C4B-43E5-A654-623C95772711}">
  <ds:schemaRefs>
    <ds:schemaRef ds:uri="http://schemas.microsoft.com/DataMashup"/>
  </ds:schemaRefs>
</ds:datastoreItem>
</file>

<file path=customXml/itemProps16.xml><?xml version="1.0" encoding="utf-8"?>
<ds:datastoreItem xmlns:ds="http://schemas.openxmlformats.org/officeDocument/2006/customXml" ds:itemID="{6E42EF75-7095-44DD-BC63-D3D52EB69CDB}">
  <ds:schemaRefs/>
</ds:datastoreItem>
</file>

<file path=customXml/itemProps17.xml><?xml version="1.0" encoding="utf-8"?>
<ds:datastoreItem xmlns:ds="http://schemas.openxmlformats.org/officeDocument/2006/customXml" ds:itemID="{D904CF2C-7217-4C30-921B-2FCC40289ED6}">
  <ds:schemaRefs/>
</ds:datastoreItem>
</file>

<file path=customXml/itemProps18.xml><?xml version="1.0" encoding="utf-8"?>
<ds:datastoreItem xmlns:ds="http://schemas.openxmlformats.org/officeDocument/2006/customXml" ds:itemID="{B41DB448-9C9B-4730-B11B-071DDF5779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Satisfication 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Sapna devi</dc:creator>
  <cp:lastModifiedBy>Sapna devi</cp:lastModifiedBy>
  <dcterms:created xsi:type="dcterms:W3CDTF">2026-04-05T17:21:56Z</dcterms:created>
  <dcterms:modified xsi:type="dcterms:W3CDTF">2026-04-09T12:15:48Z</dcterms:modified>
</cp:coreProperties>
</file>